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ashi\Downloads\"/>
    </mc:Choice>
  </mc:AlternateContent>
  <xr:revisionPtr revIDLastSave="0" documentId="13_ncr:1_{C636AB6E-0E98-4BBD-8D46-3ADE553D581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PAINEL" sheetId="1" r:id="rId1"/>
    <sheet name="BASE" sheetId="2" r:id="rId2"/>
    <sheet name="ANO" sheetId="3" r:id="rId3"/>
  </sheets>
  <definedNames>
    <definedName name="_xlnm._FilterDatabase" localSheetId="1" hidden="1">BASE!$G$6:$L$126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2" i="3" l="1"/>
  <c r="Q42" i="3"/>
  <c r="P42" i="3"/>
  <c r="O42" i="3"/>
  <c r="N42" i="3"/>
  <c r="M42" i="3"/>
  <c r="L42" i="3"/>
  <c r="K42" i="3"/>
  <c r="J42" i="3"/>
  <c r="I42" i="3"/>
  <c r="H42" i="3"/>
  <c r="G42" i="3"/>
  <c r="F42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Q28" i="3"/>
  <c r="P28" i="3"/>
  <c r="O28" i="3"/>
  <c r="N28" i="3"/>
  <c r="M28" i="3"/>
  <c r="L28" i="3"/>
  <c r="K28" i="3"/>
  <c r="J28" i="3"/>
  <c r="I28" i="3"/>
  <c r="H28" i="3"/>
  <c r="G28" i="3"/>
  <c r="F28" i="3"/>
  <c r="Q27" i="3"/>
  <c r="P27" i="3"/>
  <c r="O27" i="3"/>
  <c r="N27" i="3"/>
  <c r="M27" i="3"/>
  <c r="L27" i="3"/>
  <c r="K27" i="3"/>
  <c r="J27" i="3"/>
  <c r="I27" i="3"/>
  <c r="H27" i="3"/>
  <c r="G27" i="3"/>
  <c r="F27" i="3"/>
  <c r="R27" i="3" s="1"/>
  <c r="Q26" i="3"/>
  <c r="P26" i="3"/>
  <c r="O26" i="3"/>
  <c r="N26" i="3"/>
  <c r="M26" i="3"/>
  <c r="L26" i="3"/>
  <c r="K26" i="3"/>
  <c r="J26" i="3"/>
  <c r="I26" i="3"/>
  <c r="H26" i="3"/>
  <c r="G26" i="3"/>
  <c r="F26" i="3"/>
  <c r="Q25" i="3"/>
  <c r="P25" i="3"/>
  <c r="O25" i="3"/>
  <c r="N25" i="3"/>
  <c r="M25" i="3"/>
  <c r="L25" i="3"/>
  <c r="K25" i="3"/>
  <c r="J25" i="3"/>
  <c r="I25" i="3"/>
  <c r="H25" i="3"/>
  <c r="G25" i="3"/>
  <c r="F25" i="3"/>
  <c r="Q24" i="3"/>
  <c r="P24" i="3"/>
  <c r="O24" i="3"/>
  <c r="N24" i="3"/>
  <c r="M24" i="3"/>
  <c r="L24" i="3"/>
  <c r="K24" i="3"/>
  <c r="J24" i="3"/>
  <c r="I24" i="3"/>
  <c r="H24" i="3"/>
  <c r="G24" i="3"/>
  <c r="F24" i="3"/>
  <c r="Q23" i="3"/>
  <c r="P23" i="3"/>
  <c r="O23" i="3"/>
  <c r="N23" i="3"/>
  <c r="M23" i="3"/>
  <c r="L23" i="3"/>
  <c r="K23" i="3"/>
  <c r="J23" i="3"/>
  <c r="I23" i="3"/>
  <c r="H23" i="3"/>
  <c r="G23" i="3"/>
  <c r="F23" i="3"/>
  <c r="Q22" i="3"/>
  <c r="P22" i="3"/>
  <c r="O22" i="3"/>
  <c r="N22" i="3"/>
  <c r="M22" i="3"/>
  <c r="L22" i="3"/>
  <c r="K22" i="3"/>
  <c r="J22" i="3"/>
  <c r="I22" i="3"/>
  <c r="H22" i="3"/>
  <c r="G22" i="3"/>
  <c r="F22" i="3"/>
  <c r="Q21" i="3"/>
  <c r="P21" i="3"/>
  <c r="O21" i="3"/>
  <c r="N21" i="3"/>
  <c r="M21" i="3"/>
  <c r="L21" i="3"/>
  <c r="K21" i="3"/>
  <c r="J21" i="3"/>
  <c r="I21" i="3"/>
  <c r="H21" i="3"/>
  <c r="G21" i="3"/>
  <c r="F21" i="3"/>
  <c r="Q20" i="3"/>
  <c r="P20" i="3"/>
  <c r="O20" i="3"/>
  <c r="N20" i="3"/>
  <c r="M20" i="3"/>
  <c r="L20" i="3"/>
  <c r="K20" i="3"/>
  <c r="J20" i="3"/>
  <c r="I20" i="3"/>
  <c r="H20" i="3"/>
  <c r="G20" i="3"/>
  <c r="F20" i="3"/>
  <c r="Q19" i="3"/>
  <c r="P19" i="3"/>
  <c r="O19" i="3"/>
  <c r="N19" i="3"/>
  <c r="M19" i="3"/>
  <c r="L19" i="3"/>
  <c r="K19" i="3"/>
  <c r="J19" i="3"/>
  <c r="I19" i="3"/>
  <c r="H19" i="3"/>
  <c r="G19" i="3"/>
  <c r="F19" i="3"/>
  <c r="Q14" i="3"/>
  <c r="P14" i="3"/>
  <c r="O14" i="3"/>
  <c r="N14" i="3"/>
  <c r="M14" i="3"/>
  <c r="L14" i="3"/>
  <c r="K14" i="3"/>
  <c r="J14" i="3"/>
  <c r="I14" i="3"/>
  <c r="H14" i="3"/>
  <c r="G14" i="3"/>
  <c r="F14" i="3"/>
  <c r="Q13" i="3"/>
  <c r="P13" i="3"/>
  <c r="O13" i="3"/>
  <c r="N13" i="3"/>
  <c r="M13" i="3"/>
  <c r="L13" i="3"/>
  <c r="K13" i="3"/>
  <c r="J13" i="3"/>
  <c r="I13" i="3"/>
  <c r="H13" i="3"/>
  <c r="G13" i="3"/>
  <c r="F13" i="3"/>
  <c r="Q12" i="3"/>
  <c r="P12" i="3"/>
  <c r="O12" i="3"/>
  <c r="N12" i="3"/>
  <c r="M12" i="3"/>
  <c r="L12" i="3"/>
  <c r="K12" i="3"/>
  <c r="J12" i="3"/>
  <c r="I12" i="3"/>
  <c r="H12" i="3"/>
  <c r="G12" i="3"/>
  <c r="F12" i="3"/>
  <c r="Q11" i="3"/>
  <c r="P11" i="3"/>
  <c r="O11" i="3"/>
  <c r="N11" i="3"/>
  <c r="M11" i="3"/>
  <c r="L11" i="3"/>
  <c r="K11" i="3"/>
  <c r="J11" i="3"/>
  <c r="I11" i="3"/>
  <c r="H11" i="3"/>
  <c r="G11" i="3"/>
  <c r="F11" i="3"/>
  <c r="Q10" i="3"/>
  <c r="P10" i="3"/>
  <c r="O10" i="3"/>
  <c r="N10" i="3"/>
  <c r="M10" i="3"/>
  <c r="L10" i="3"/>
  <c r="K10" i="3"/>
  <c r="J10" i="3"/>
  <c r="I10" i="3"/>
  <c r="H10" i="3"/>
  <c r="G10" i="3"/>
  <c r="F10" i="3"/>
  <c r="Q9" i="3"/>
  <c r="P9" i="3"/>
  <c r="O9" i="3"/>
  <c r="N9" i="3"/>
  <c r="M9" i="3"/>
  <c r="L9" i="3"/>
  <c r="K9" i="3"/>
  <c r="J9" i="3"/>
  <c r="I9" i="3"/>
  <c r="H9" i="3"/>
  <c r="G9" i="3"/>
  <c r="F9" i="3"/>
  <c r="Q8" i="3"/>
  <c r="P8" i="3"/>
  <c r="O8" i="3"/>
  <c r="N8" i="3"/>
  <c r="M8" i="3"/>
  <c r="L8" i="3"/>
  <c r="K8" i="3"/>
  <c r="J8" i="3"/>
  <c r="I8" i="3"/>
  <c r="H8" i="3"/>
  <c r="G8" i="3"/>
  <c r="F8" i="3"/>
  <c r="Q7" i="3"/>
  <c r="P7" i="3"/>
  <c r="O7" i="3"/>
  <c r="N7" i="3"/>
  <c r="M7" i="3"/>
  <c r="L7" i="3"/>
  <c r="K7" i="3"/>
  <c r="J7" i="3"/>
  <c r="I7" i="3"/>
  <c r="H7" i="3"/>
  <c r="G7" i="3"/>
  <c r="F7" i="3"/>
  <c r="Q6" i="3"/>
  <c r="P6" i="3"/>
  <c r="O6" i="3"/>
  <c r="N6" i="3"/>
  <c r="M6" i="3"/>
  <c r="L6" i="3"/>
  <c r="K6" i="3"/>
  <c r="J6" i="3"/>
  <c r="I6" i="3"/>
  <c r="H6" i="3"/>
  <c r="G6" i="3"/>
  <c r="F6" i="3"/>
  <c r="Q5" i="3"/>
  <c r="P5" i="3"/>
  <c r="O5" i="3"/>
  <c r="N5" i="3"/>
  <c r="M5" i="3"/>
  <c r="L5" i="3"/>
  <c r="K5" i="3"/>
  <c r="J5" i="3"/>
  <c r="I5" i="3"/>
  <c r="H5" i="3"/>
  <c r="G5" i="3"/>
  <c r="F5" i="3"/>
  <c r="J16" i="1"/>
  <c r="G16" i="1"/>
  <c r="F16" i="1"/>
  <c r="J15" i="1"/>
  <c r="F15" i="1"/>
  <c r="J14" i="1"/>
  <c r="F14" i="1"/>
  <c r="J13" i="1"/>
  <c r="F13" i="1"/>
  <c r="J12" i="1"/>
  <c r="F12" i="1"/>
  <c r="J11" i="1"/>
  <c r="F11" i="1"/>
  <c r="J10" i="1"/>
  <c r="F10" i="1"/>
  <c r="J9" i="1"/>
  <c r="F9" i="1"/>
  <c r="J8" i="1"/>
  <c r="F8" i="1"/>
  <c r="J7" i="1"/>
  <c r="F7" i="1"/>
  <c r="R24" i="3" l="1"/>
  <c r="R7" i="3"/>
  <c r="R21" i="3"/>
  <c r="R12" i="3"/>
  <c r="R26" i="3"/>
  <c r="N15" i="3"/>
  <c r="R9" i="3"/>
  <c r="R23" i="3"/>
  <c r="R20" i="3"/>
  <c r="R11" i="3"/>
  <c r="R8" i="3"/>
  <c r="Q15" i="3"/>
  <c r="P15" i="3"/>
  <c r="O15" i="3"/>
  <c r="R28" i="3"/>
  <c r="Q29" i="3"/>
  <c r="R25" i="3"/>
  <c r="R22" i="3"/>
  <c r="P29" i="3"/>
  <c r="O29" i="3"/>
  <c r="N29" i="3"/>
  <c r="M29" i="3"/>
  <c r="L29" i="3"/>
  <c r="K29" i="3"/>
  <c r="J29" i="3"/>
  <c r="I29" i="3"/>
  <c r="H29" i="3"/>
  <c r="G29" i="3"/>
  <c r="R14" i="3"/>
  <c r="R13" i="3"/>
  <c r="R10" i="3"/>
  <c r="R6" i="3"/>
  <c r="M15" i="3"/>
  <c r="L15" i="3"/>
  <c r="K15" i="3"/>
  <c r="J15" i="3"/>
  <c r="I15" i="3"/>
  <c r="H15" i="3"/>
  <c r="G15" i="3"/>
  <c r="F29" i="3"/>
  <c r="R19" i="3"/>
  <c r="R5" i="3"/>
  <c r="F15" i="3"/>
  <c r="K16" i="1"/>
  <c r="O16" i="1" s="1"/>
  <c r="N16" i="1"/>
  <c r="H16" i="1"/>
  <c r="I16" i="1"/>
  <c r="L16" i="1"/>
  <c r="M16" i="1" s="1"/>
  <c r="N15" i="1"/>
  <c r="K15" i="1"/>
  <c r="O15" i="1" s="1"/>
  <c r="H15" i="1"/>
  <c r="I15" i="1"/>
  <c r="L15" i="1"/>
  <c r="M15" i="1" s="1"/>
  <c r="K14" i="1"/>
  <c r="O14" i="1" s="1"/>
  <c r="N14" i="1"/>
  <c r="L14" i="1"/>
  <c r="M14" i="1" s="1"/>
  <c r="I14" i="1"/>
  <c r="H14" i="1"/>
  <c r="K13" i="1"/>
  <c r="O13" i="1" s="1"/>
  <c r="N13" i="1"/>
  <c r="L13" i="1"/>
  <c r="M13" i="1" s="1"/>
  <c r="H13" i="1"/>
  <c r="I13" i="1"/>
  <c r="N12" i="1"/>
  <c r="K12" i="1"/>
  <c r="O12" i="1" s="1"/>
  <c r="L12" i="1"/>
  <c r="M12" i="1" s="1"/>
  <c r="H12" i="1"/>
  <c r="I12" i="1"/>
  <c r="N11" i="1"/>
  <c r="K11" i="1"/>
  <c r="O11" i="1" s="1"/>
  <c r="L11" i="1"/>
  <c r="M11" i="1" s="1"/>
  <c r="I11" i="1"/>
  <c r="H11" i="1"/>
  <c r="K10" i="1"/>
  <c r="O10" i="1" s="1"/>
  <c r="N10" i="1"/>
  <c r="H10" i="1"/>
  <c r="L10" i="1"/>
  <c r="M10" i="1" s="1"/>
  <c r="I10" i="1"/>
  <c r="K9" i="1"/>
  <c r="O9" i="1" s="1"/>
  <c r="N9" i="1"/>
  <c r="I9" i="1"/>
  <c r="H9" i="1"/>
  <c r="L9" i="1"/>
  <c r="M9" i="1" s="1"/>
  <c r="K8" i="1"/>
  <c r="O8" i="1" s="1"/>
  <c r="N8" i="1"/>
  <c r="I8" i="1"/>
  <c r="L8" i="1"/>
  <c r="M8" i="1" s="1"/>
  <c r="H8" i="1"/>
  <c r="K7" i="1"/>
  <c r="O7" i="1" s="1"/>
  <c r="J17" i="1"/>
  <c r="N7" i="1"/>
  <c r="G17" i="1"/>
  <c r="L7" i="1"/>
  <c r="I7" i="1"/>
  <c r="H7" i="1"/>
  <c r="R15" i="3" l="1"/>
  <c r="R29" i="3"/>
  <c r="I17" i="1"/>
  <c r="H17" i="1"/>
  <c r="N17" i="1"/>
  <c r="L17" i="1"/>
  <c r="M7" i="1"/>
  <c r="M17" i="1" s="1"/>
  <c r="K17" i="1"/>
</calcChain>
</file>

<file path=xl/sharedStrings.xml><?xml version="1.0" encoding="utf-8"?>
<sst xmlns="http://schemas.openxmlformats.org/spreadsheetml/2006/main" count="359" uniqueCount="65">
  <si>
    <t>PAINEL DO MÊS</t>
  </si>
  <si>
    <t>Mês:</t>
  </si>
  <si>
    <t>MAIO</t>
  </si>
  <si>
    <t>&lt;- escolha aqui</t>
  </si>
  <si>
    <t>Meta 2 = Meta 1 x</t>
  </si>
  <si>
    <t>Meta 3 = Meta 1 x</t>
  </si>
  <si>
    <t>Nada se digita nesta tela além do mês e dos dois fatores. Os números vêm da aba BASE.</t>
  </si>
  <si>
    <t>LOJA</t>
  </si>
  <si>
    <t>DIAS QUE FALTAM</t>
  </si>
  <si>
    <t>META 1</t>
  </si>
  <si>
    <t>META 2</t>
  </si>
  <si>
    <t>META 3</t>
  </si>
  <si>
    <t>VENDA ATÉ HOJE</t>
  </si>
  <si>
    <t>% DA META 1</t>
  </si>
  <si>
    <t>FALTA P/ META 1</t>
  </si>
  <si>
    <t>VENDER POR DIA</t>
  </si>
  <si>
    <t>PROJEÇÃO DO MÊS</t>
  </si>
  <si>
    <t>SITUAÇÃO</t>
  </si>
  <si>
    <t>ITABORAÍ 2 - 257</t>
  </si>
  <si>
    <t>SÃO GONÇALO - 364</t>
  </si>
  <si>
    <t>CENTER 4 - 117</t>
  </si>
  <si>
    <t>CONCEIÇÃO - 109</t>
  </si>
  <si>
    <t>RIO BRANCO - 363</t>
  </si>
  <si>
    <t>SÃO JOSÉ - 236</t>
  </si>
  <si>
    <t>COPA 2 - 165</t>
  </si>
  <si>
    <t>TIJUCA 3 - 157</t>
  </si>
  <si>
    <t>RODRIGO SILVA - 997</t>
  </si>
  <si>
    <t>RODO 3 - 1017</t>
  </si>
  <si>
    <t>TOTAL</t>
  </si>
  <si>
    <t>PROJEÇÃO DO MÊS = onde a loja fecha se mantiver o ritmo atual.</t>
  </si>
  <si>
    <t>BASE — todos os meses, uma linha por loja</t>
  </si>
  <si>
    <t>É a única aba onde se digita. Preencha as colunas amarelas. Nunca crie aba nova, nunca mude a ordem das linhas.</t>
  </si>
  <si>
    <t>REALIZADO: exporte do Microvix e cole na coluna F — não digite loja por loja.</t>
  </si>
  <si>
    <t>MÊS</t>
  </si>
  <si>
    <t>DIAS ÚTEIS DO MÊS</t>
  </si>
  <si>
    <t>DIAS JÁ TRABALHADOS</t>
  </si>
  <si>
    <t>REALIZADO</t>
  </si>
  <si>
    <t>JANEIRO</t>
  </si>
  <si>
    <t>FEVEREIRO</t>
  </si>
  <si>
    <t>MARÇO</t>
  </si>
  <si>
    <t>ABRIL</t>
  </si>
  <si>
    <t>JUNHO</t>
  </si>
  <si>
    <t>JULHO</t>
  </si>
  <si>
    <t>AGOSTO</t>
  </si>
  <si>
    <t>SETEMBRO</t>
  </si>
  <si>
    <t>OUTUBRO</t>
  </si>
  <si>
    <t>NOVEMBRO</t>
  </si>
  <si>
    <t>DEZEMBRO</t>
  </si>
  <si>
    <t>Mês fechado: deixe DIAS JÁ TRABALHADOS igual aos DIAS ÚTEIS.</t>
  </si>
  <si>
    <t>ANO 2026 — atualiza sozinho a partir da BASE</t>
  </si>
  <si>
    <t>META 1 (R$)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</si>
  <si>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</si>
  <si>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</si>
  <si>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</si>
  <si>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</si>
  <si>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</si>
  <si>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</si>
  <si>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</si>
  <si>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</si>
  <si>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</si>
  <si>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</si>
  <si>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</si>
  <si>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</si>
  <si>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ANO</t>
  </si>
  <si>
    <t>REALIZADO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</si>
</sst>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 &quot;#,##0;[Red]&quot;(R$ &quot;#,##0\);\-"/>
    <numFmt numFmtId="165" formatCode="0%;[Red]\-0%;\-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4"/>
      <color rgb="FFFFFFFF"/>
      <name val="Aptos"/>
      <family val="2"/>
    </font>
    <font>
      <b/>
      <sz val="11"/>
      <name val="Aptos"/>
      <family val="2"/>
    </font>
    <font>
      <b/>
      <sz val="12"/>
      <color rgb="FF0000FF"/>
      <name val="Aptos"/>
      <family val="2"/>
    </font>
    <font>
      <i/>
      <sz val="9"/>
      <color rgb="FF595959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0000FF"/>
      <name val="Aptos"/>
      <family val="2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11"/>
      <color rgb="FFC0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A8"/>
        <bgColor rgb="FFFFEB9C"/>
      </patternFill>
    </fill>
    <fill>
      <patternFill patternType="solid">
        <fgColor rgb="FF2E5C9A"/>
        <bgColor rgb="FF333399"/>
      </patternFill>
    </fill>
    <fill>
      <patternFill patternType="solid">
        <fgColor rgb="FFD9D9D9"/>
        <bgColor rgb="FFC6EFCE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/>
      <diagonal/>
    </border>
    <border>
      <left style="thin">
        <color indexed="64"/>
      </left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0" fillId="0" borderId="0" xfId="0" applyBorder="1"/>
    <xf numFmtId="0" fontId="5" fillId="3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2" fontId="9" fillId="3" borderId="1" xfId="0" applyNumberFormat="1" applyFont="1" applyFill="1" applyBorder="1"/>
    <xf numFmtId="0" fontId="10" fillId="4" borderId="4" xfId="0" applyFont="1" applyFill="1" applyBorder="1" applyAlignment="1">
      <alignment horizontal="center" vertical="center" wrapText="1"/>
    </xf>
    <xf numFmtId="0" fontId="8" fillId="0" borderId="3" xfId="0" applyFont="1" applyBorder="1"/>
    <xf numFmtId="1" fontId="8" fillId="0" borderId="3" xfId="0" applyNumberFormat="1" applyFont="1" applyBorder="1" applyAlignment="1">
      <alignment horizontal="center"/>
    </xf>
    <xf numFmtId="44" fontId="7" fillId="0" borderId="3" xfId="1" applyFont="1" applyBorder="1"/>
    <xf numFmtId="44" fontId="11" fillId="0" borderId="3" xfId="1" applyFont="1" applyBorder="1"/>
    <xf numFmtId="164" fontId="8" fillId="0" borderId="3" xfId="0" applyNumberFormat="1" applyFont="1" applyBorder="1"/>
    <xf numFmtId="165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3" fillId="2" borderId="0" xfId="0" applyFont="1" applyFill="1"/>
    <xf numFmtId="0" fontId="10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" fontId="9" fillId="3" borderId="1" xfId="0" applyNumberFormat="1" applyFont="1" applyFill="1" applyBorder="1" applyAlignment="1">
      <alignment horizontal="center"/>
    </xf>
    <xf numFmtId="164" fontId="9" fillId="3" borderId="1" xfId="0" applyNumberFormat="1" applyFont="1" applyFill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1" fontId="9" fillId="3" borderId="2" xfId="0" applyNumberFormat="1" applyFont="1" applyFill="1" applyBorder="1" applyAlignment="1">
      <alignment horizontal="center"/>
    </xf>
    <xf numFmtId="164" fontId="9" fillId="3" borderId="2" xfId="0" applyNumberFormat="1" applyFont="1" applyFill="1" applyBorder="1"/>
    <xf numFmtId="0" fontId="3" fillId="2" borderId="0" xfId="0" applyFont="1" applyFill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/>
    <xf numFmtId="0" fontId="6" fillId="0" borderId="0" xfId="0" applyFont="1" applyAlignment="1">
      <alignment horizontal="center"/>
    </xf>
    <xf numFmtId="0" fontId="10" fillId="4" borderId="1" xfId="0" applyFont="1" applyFill="1" applyBorder="1"/>
    <xf numFmtId="0" fontId="10" fillId="4" borderId="1" xfId="0" applyFont="1" applyFill="1" applyBorder="1" applyAlignment="1">
      <alignment horizontal="center"/>
    </xf>
    <xf numFmtId="164" fontId="8" fillId="0" borderId="1" xfId="0" applyNumberFormat="1" applyFont="1" applyBorder="1"/>
    <xf numFmtId="164" fontId="4" fillId="0" borderId="1" xfId="0" applyNumberFormat="1" applyFont="1" applyBorder="1"/>
    <xf numFmtId="0" fontId="4" fillId="5" borderId="1" xfId="0" applyFont="1" applyFill="1" applyBorder="1"/>
    <xf numFmtId="164" fontId="4" fillId="5" borderId="1" xfId="0" applyNumberFormat="1" applyFont="1" applyFill="1" applyBorder="1"/>
    <xf numFmtId="165" fontId="8" fillId="0" borderId="1" xfId="0" applyNumberFormat="1" applyFont="1" applyBorder="1"/>
    <xf numFmtId="165" fontId="4" fillId="0" borderId="1" xfId="0" applyNumberFormat="1" applyFont="1" applyBorder="1"/>
    <xf numFmtId="165" fontId="4" fillId="5" borderId="1" xfId="0" applyNumberFormat="1" applyFont="1" applyFill="1" applyBorder="1"/>
    <xf numFmtId="0" fontId="4" fillId="0" borderId="5" xfId="0" applyFont="1" applyBorder="1" applyAlignment="1">
      <alignment horizontal="center" vertical="center"/>
    </xf>
    <xf numFmtId="0" fontId="3" fillId="2" borderId="6" xfId="0" applyFont="1" applyFill="1" applyBorder="1" applyAlignment="1"/>
    <xf numFmtId="0" fontId="3" fillId="2" borderId="7" xfId="0" applyFont="1" applyFill="1" applyBorder="1" applyAlignment="1"/>
    <xf numFmtId="0" fontId="3" fillId="2" borderId="8" xfId="0" applyFont="1" applyFill="1" applyBorder="1" applyAlignment="1"/>
    <xf numFmtId="0" fontId="4" fillId="0" borderId="9" xfId="0" applyFont="1" applyBorder="1"/>
    <xf numFmtId="0" fontId="6" fillId="0" borderId="0" xfId="0" applyFont="1" applyBorder="1"/>
    <xf numFmtId="0" fontId="7" fillId="0" borderId="0" xfId="0" applyFont="1" applyBorder="1"/>
    <xf numFmtId="0" fontId="7" fillId="0" borderId="10" xfId="0" applyFont="1" applyBorder="1"/>
    <xf numFmtId="0" fontId="8" fillId="0" borderId="9" xfId="0" applyFont="1" applyBorder="1"/>
    <xf numFmtId="0" fontId="8" fillId="0" borderId="0" xfId="0" applyFont="1" applyBorder="1"/>
    <xf numFmtId="0" fontId="6" fillId="0" borderId="9" xfId="0" applyFont="1" applyBorder="1"/>
    <xf numFmtId="0" fontId="7" fillId="0" borderId="9" xfId="0" applyFont="1" applyBorder="1"/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1" fontId="4" fillId="5" borderId="14" xfId="0" applyNumberFormat="1" applyFont="1" applyFill="1" applyBorder="1"/>
    <xf numFmtId="164" fontId="4" fillId="5" borderId="14" xfId="0" applyNumberFormat="1" applyFont="1" applyFill="1" applyBorder="1"/>
    <xf numFmtId="165" fontId="4" fillId="5" borderId="14" xfId="0" applyNumberFormat="1" applyFont="1" applyFill="1" applyBorder="1" applyAlignment="1">
      <alignment horizontal="center"/>
    </xf>
    <xf numFmtId="0" fontId="4" fillId="5" borderId="15" xfId="0" applyFont="1" applyFill="1" applyBorder="1"/>
  </cellXfs>
  <cellStyles count="2">
    <cellStyle name="Moeda" xfId="1" builtinId="4"/>
    <cellStyle name="Normal" xfId="0" builtinId="0"/>
  </cellStyles>
  <dxfs count="5">
    <dxf>
      <font>
        <sz val="11"/>
        <color rgb="FF9C0006"/>
        <name val="Arial"/>
        <charset val="1"/>
      </font>
      <fill>
        <patternFill>
          <bgColor rgb="FFFFC7CE"/>
        </patternFill>
      </fill>
    </dxf>
    <dxf>
      <font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9C5700"/>
        <name val="Arial"/>
        <charset val="1"/>
      </font>
      <fill>
        <patternFill>
          <bgColor rgb="FFFFEB9C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B9C"/>
      <rgbColor rgb="FFCCFFFF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2A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B19"/>
  <sheetViews>
    <sheetView showGridLines="0" tabSelected="1" zoomScaleNormal="100" workbookViewId="0">
      <pane xSplit="5" ySplit="6" topLeftCell="F7" activePane="bottomRight" state="frozen"/>
      <selection pane="topRight" activeCell="B1" sqref="B1"/>
      <selection pane="bottomLeft" activeCell="A7" sqref="A7"/>
      <selection pane="bottomRight" activeCell="L30" sqref="L30"/>
    </sheetView>
  </sheetViews>
  <sheetFormatPr defaultColWidth="8.7109375" defaultRowHeight="15" x14ac:dyDescent="0.25"/>
  <cols>
    <col min="5" max="5" width="22" customWidth="1"/>
    <col min="6" max="6" width="11" customWidth="1"/>
    <col min="7" max="7" width="17.85546875" customWidth="1"/>
    <col min="8" max="10" width="14" customWidth="1"/>
    <col min="11" max="11" width="10" customWidth="1"/>
    <col min="12" max="12" width="14" customWidth="1"/>
    <col min="13" max="13" width="13" customWidth="1"/>
    <col min="14" max="14" width="14" customWidth="1"/>
    <col min="15" max="15" width="12.140625" customWidth="1"/>
    <col min="16" max="28" width="8.7109375" style="2"/>
  </cols>
  <sheetData>
    <row r="1" spans="5:15" ht="24" customHeight="1" x14ac:dyDescent="0.3">
      <c r="E1" s="39" t="s">
        <v>0</v>
      </c>
      <c r="F1" s="40"/>
      <c r="G1" s="40"/>
      <c r="H1" s="40"/>
      <c r="I1" s="40"/>
      <c r="J1" s="40"/>
      <c r="K1" s="40"/>
      <c r="L1" s="40"/>
      <c r="M1" s="40"/>
      <c r="N1" s="40"/>
      <c r="O1" s="41"/>
    </row>
    <row r="2" spans="5:15" ht="15.75" x14ac:dyDescent="0.25">
      <c r="E2" s="42" t="s">
        <v>1</v>
      </c>
      <c r="F2" s="3" t="s">
        <v>41</v>
      </c>
      <c r="G2" s="43" t="s">
        <v>3</v>
      </c>
      <c r="H2" s="44"/>
      <c r="I2" s="44"/>
      <c r="J2" s="44"/>
      <c r="K2" s="44"/>
      <c r="L2" s="44"/>
      <c r="M2" s="44"/>
      <c r="N2" s="44"/>
      <c r="O2" s="45"/>
    </row>
    <row r="3" spans="5:15" x14ac:dyDescent="0.25">
      <c r="E3" s="46" t="s">
        <v>4</v>
      </c>
      <c r="F3" s="6">
        <v>1.1200000000000001</v>
      </c>
      <c r="G3" s="47" t="s">
        <v>5</v>
      </c>
      <c r="H3" s="6">
        <v>1.3</v>
      </c>
      <c r="I3" s="44"/>
      <c r="J3" s="44"/>
      <c r="K3" s="44"/>
      <c r="L3" s="44"/>
      <c r="M3" s="44"/>
      <c r="N3" s="44"/>
      <c r="O3" s="45"/>
    </row>
    <row r="4" spans="5:15" x14ac:dyDescent="0.25">
      <c r="E4" s="48" t="s">
        <v>6</v>
      </c>
      <c r="F4" s="44"/>
      <c r="G4" s="44"/>
      <c r="H4" s="44"/>
      <c r="I4" s="44"/>
      <c r="J4" s="44"/>
      <c r="K4" s="44"/>
      <c r="L4" s="44"/>
      <c r="M4" s="44"/>
      <c r="N4" s="44"/>
      <c r="O4" s="45"/>
    </row>
    <row r="5" spans="5:15" x14ac:dyDescent="0.25">
      <c r="E5" s="49"/>
      <c r="F5" s="44"/>
      <c r="G5" s="44"/>
      <c r="H5" s="44"/>
      <c r="I5" s="44"/>
      <c r="J5" s="44"/>
      <c r="K5" s="44"/>
      <c r="L5" s="44"/>
      <c r="M5" s="44"/>
      <c r="N5" s="44"/>
      <c r="O5" s="45"/>
    </row>
    <row r="6" spans="5:15" ht="31.5" customHeight="1" x14ac:dyDescent="0.25">
      <c r="E6" s="50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51" t="s">
        <v>17</v>
      </c>
    </row>
    <row r="7" spans="5:15" ht="19.5" customHeight="1" x14ac:dyDescent="0.25">
      <c r="E7" s="8" t="s">
        <v>18</v>
      </c>
      <c r="F7" s="9">
        <f>SUMIFS(BASE!$I$7:$I$126,BASE!$G$7:$G$126,$F$2,BASE!$H$7:$H$126,$E7)-SUMIFS(BASE!$J$7:$J$126,BASE!$G$7:$G$126,$F$2,BASE!$H$7:$H$126,$E7)</f>
        <v>26</v>
      </c>
      <c r="G7" s="10">
        <v>159125</v>
      </c>
      <c r="H7" s="11">
        <f t="shared" ref="H7:H16" si="0">$G7*$F$3</f>
        <v>178220.00000000003</v>
      </c>
      <c r="I7" s="11">
        <f t="shared" ref="I7:I16" si="1">$G7*$H$3</f>
        <v>206862.5</v>
      </c>
      <c r="J7" s="12">
        <f>SUMIFS(BASE!$L$7:$L$126,BASE!$G$7:$G$126,$F$2,BASE!$H$7:$H$126,$E7)</f>
        <v>0</v>
      </c>
      <c r="K7" s="13">
        <f t="shared" ref="K7:K16" si="2">IFERROR($J7/$G7,"")</f>
        <v>0</v>
      </c>
      <c r="L7" s="11">
        <f t="shared" ref="L7:L16" si="3">IF($G7=0,"",$G7-$J7)</f>
        <v>159125</v>
      </c>
      <c r="M7" s="11">
        <f t="shared" ref="M7:M16" si="4">IFERROR(IF($L7&lt;=0,0,$L7/$F7),"")</f>
        <v>6120.1923076923076</v>
      </c>
      <c r="N7" s="12" t="str">
        <f>IFERROR($J7/SUMIFS(BASE!$J$7:$J$126,BASE!$G$7:$G$126,$F$2,BASE!$H$7:$H$126,$E7)*SUMIFS(BASE!$I$7:$I$126,BASE!$G$7:$G$126,$F$2,BASE!$H$7:$H$126,$E7),"")</f>
        <v/>
      </c>
      <c r="O7" s="14" t="str">
        <f t="shared" ref="O7:O16" si="5">IF($K7="","",IF($K7&gt;=1,"BATEU",IF($K7&gt;=0.85,"ATENÇÃO","CRÍTICO")))</f>
        <v>CRÍTICO</v>
      </c>
    </row>
    <row r="8" spans="5:15" ht="19.5" customHeight="1" x14ac:dyDescent="0.25">
      <c r="E8" s="8" t="s">
        <v>19</v>
      </c>
      <c r="F8" s="9">
        <f>SUMIFS(BASE!$I$7:$I$126,BASE!$G$7:$G$126,$F$2,BASE!$H$7:$H$126,$E8)-SUMIFS(BASE!$J$7:$J$126,BASE!$G$7:$G$126,$F$2,BASE!$H$7:$H$126,$E8)</f>
        <v>26</v>
      </c>
      <c r="G8" s="10"/>
      <c r="H8" s="11">
        <f t="shared" si="0"/>
        <v>0</v>
      </c>
      <c r="I8" s="11">
        <f t="shared" si="1"/>
        <v>0</v>
      </c>
      <c r="J8" s="11">
        <f>SUMIFS(BASE!$L$7:$L$126,BASE!$G$7:$G$126,$F$2,BASE!$H$7:$H$126,$E8)</f>
        <v>0</v>
      </c>
      <c r="K8" s="13" t="str">
        <f t="shared" si="2"/>
        <v/>
      </c>
      <c r="L8" s="11" t="str">
        <f t="shared" si="3"/>
        <v/>
      </c>
      <c r="M8" s="11" t="str">
        <f t="shared" si="4"/>
        <v/>
      </c>
      <c r="N8" s="12" t="str">
        <f>IFERROR($J8/SUMIFS(BASE!$J$7:$J$126,BASE!$G$7:$G$126,$F$2,BASE!$H$7:$H$126,$E8)*SUMIFS(BASE!$I$7:$I$126,BASE!$G$7:$G$126,$F$2,BASE!$H$7:$H$126,$E8),"")</f>
        <v/>
      </c>
      <c r="O8" s="14" t="str">
        <f t="shared" si="5"/>
        <v/>
      </c>
    </row>
    <row r="9" spans="5:15" ht="19.5" customHeight="1" x14ac:dyDescent="0.25">
      <c r="E9" s="8" t="s">
        <v>20</v>
      </c>
      <c r="F9" s="9">
        <f>SUMIFS(BASE!$I$7:$I$126,BASE!$G$7:$G$126,$F$2,BASE!$H$7:$H$126,$E9)-SUMIFS(BASE!$J$7:$J$126,BASE!$G$7:$G$126,$F$2,BASE!$H$7:$H$126,$E9)</f>
        <v>26</v>
      </c>
      <c r="G9" s="10"/>
      <c r="H9" s="11">
        <f t="shared" si="0"/>
        <v>0</v>
      </c>
      <c r="I9" s="11">
        <f t="shared" si="1"/>
        <v>0</v>
      </c>
      <c r="J9" s="11">
        <f>SUMIFS(BASE!$L$7:$L$126,BASE!$G$7:$G$126,$F$2,BASE!$H$7:$H$126,$E9)</f>
        <v>0</v>
      </c>
      <c r="K9" s="13" t="str">
        <f t="shared" si="2"/>
        <v/>
      </c>
      <c r="L9" s="11" t="str">
        <f t="shared" si="3"/>
        <v/>
      </c>
      <c r="M9" s="11" t="str">
        <f t="shared" si="4"/>
        <v/>
      </c>
      <c r="N9" s="12" t="str">
        <f>IFERROR($J9/SUMIFS(BASE!$J$7:$J$126,BASE!$G$7:$G$126,$F$2,BASE!$H$7:$H$126,$E9)*SUMIFS(BASE!$I$7:$I$126,BASE!$G$7:$G$126,$F$2,BASE!$H$7:$H$126,$E9),"")</f>
        <v/>
      </c>
      <c r="O9" s="14" t="str">
        <f t="shared" si="5"/>
        <v/>
      </c>
    </row>
    <row r="10" spans="5:15" ht="19.5" customHeight="1" x14ac:dyDescent="0.25">
      <c r="E10" s="8" t="s">
        <v>21</v>
      </c>
      <c r="F10" s="9">
        <f>SUMIFS(BASE!$I$7:$I$126,BASE!$G$7:$G$126,$F$2,BASE!$H$7:$H$126,$E10)-SUMIFS(BASE!$J$7:$J$126,BASE!$G$7:$G$126,$F$2,BASE!$H$7:$H$126,$E10)</f>
        <v>26</v>
      </c>
      <c r="G10" s="10"/>
      <c r="H10" s="11">
        <f t="shared" si="0"/>
        <v>0</v>
      </c>
      <c r="I10" s="11">
        <f t="shared" si="1"/>
        <v>0</v>
      </c>
      <c r="J10" s="11">
        <f>SUMIFS(BASE!$L$7:$L$126,BASE!$G$7:$G$126,$F$2,BASE!$H$7:$H$126,$E10)</f>
        <v>0</v>
      </c>
      <c r="K10" s="13" t="str">
        <f t="shared" si="2"/>
        <v/>
      </c>
      <c r="L10" s="11" t="str">
        <f t="shared" si="3"/>
        <v/>
      </c>
      <c r="M10" s="11" t="str">
        <f t="shared" si="4"/>
        <v/>
      </c>
      <c r="N10" s="12" t="str">
        <f>IFERROR($J10/SUMIFS(BASE!$J$7:$J$126,BASE!$G$7:$G$126,$F$2,BASE!$H$7:$H$126,$E10)*SUMIFS(BASE!$I$7:$I$126,BASE!$G$7:$G$126,$F$2,BASE!$H$7:$H$126,$E10),"")</f>
        <v/>
      </c>
      <c r="O10" s="14" t="str">
        <f t="shared" si="5"/>
        <v/>
      </c>
    </row>
    <row r="11" spans="5:15" ht="19.5" customHeight="1" x14ac:dyDescent="0.25">
      <c r="E11" s="8" t="s">
        <v>22</v>
      </c>
      <c r="F11" s="9">
        <f>SUMIFS(BASE!$I$7:$I$126,BASE!$G$7:$G$126,$F$2,BASE!$H$7:$H$126,$E11)-SUMIFS(BASE!$J$7:$J$126,BASE!$G$7:$G$126,$F$2,BASE!$H$7:$H$126,$E11)</f>
        <v>26</v>
      </c>
      <c r="G11" s="10"/>
      <c r="H11" s="11">
        <f t="shared" si="0"/>
        <v>0</v>
      </c>
      <c r="I11" s="11">
        <f t="shared" si="1"/>
        <v>0</v>
      </c>
      <c r="J11" s="11">
        <f>SUMIFS(BASE!$L$7:$L$126,BASE!$G$7:$G$126,$F$2,BASE!$H$7:$H$126,$E11)</f>
        <v>0</v>
      </c>
      <c r="K11" s="13" t="str">
        <f t="shared" si="2"/>
        <v/>
      </c>
      <c r="L11" s="11" t="str">
        <f t="shared" si="3"/>
        <v/>
      </c>
      <c r="M11" s="11" t="str">
        <f t="shared" si="4"/>
        <v/>
      </c>
      <c r="N11" s="12" t="str">
        <f>IFERROR($J11/SUMIFS(BASE!$J$7:$J$126,BASE!$G$7:$G$126,$F$2,BASE!$H$7:$H$126,$E11)*SUMIFS(BASE!$I$7:$I$126,BASE!$G$7:$G$126,$F$2,BASE!$H$7:$H$126,$E11),"")</f>
        <v/>
      </c>
      <c r="O11" s="14" t="str">
        <f t="shared" si="5"/>
        <v/>
      </c>
    </row>
    <row r="12" spans="5:15" ht="19.5" customHeight="1" x14ac:dyDescent="0.25">
      <c r="E12" s="8" t="s">
        <v>23</v>
      </c>
      <c r="F12" s="9">
        <f>SUMIFS(BASE!$I$7:$I$126,BASE!$G$7:$G$126,$F$2,BASE!$H$7:$H$126,$E12)-SUMIFS(BASE!$J$7:$J$126,BASE!$G$7:$G$126,$F$2,BASE!$H$7:$H$126,$E12)</f>
        <v>26</v>
      </c>
      <c r="G12" s="10"/>
      <c r="H12" s="11">
        <f t="shared" si="0"/>
        <v>0</v>
      </c>
      <c r="I12" s="11">
        <f t="shared" si="1"/>
        <v>0</v>
      </c>
      <c r="J12" s="11">
        <f>SUMIFS(BASE!$L$7:$L$126,BASE!$G$7:$G$126,$F$2,BASE!$H$7:$H$126,$E12)</f>
        <v>0</v>
      </c>
      <c r="K12" s="13" t="str">
        <f t="shared" si="2"/>
        <v/>
      </c>
      <c r="L12" s="11" t="str">
        <f t="shared" si="3"/>
        <v/>
      </c>
      <c r="M12" s="11" t="str">
        <f t="shared" si="4"/>
        <v/>
      </c>
      <c r="N12" s="12" t="str">
        <f>IFERROR($J12/SUMIFS(BASE!$J$7:$J$126,BASE!$G$7:$G$126,$F$2,BASE!$H$7:$H$126,$E12)*SUMIFS(BASE!$I$7:$I$126,BASE!$G$7:$G$126,$F$2,BASE!$H$7:$H$126,$E12),"")</f>
        <v/>
      </c>
      <c r="O12" s="14" t="str">
        <f t="shared" si="5"/>
        <v/>
      </c>
    </row>
    <row r="13" spans="5:15" ht="19.5" customHeight="1" x14ac:dyDescent="0.25">
      <c r="E13" s="8" t="s">
        <v>24</v>
      </c>
      <c r="F13" s="9">
        <f>SUMIFS(BASE!$I$7:$I$126,BASE!$G$7:$G$126,$F$2,BASE!$H$7:$H$126,$E13)-SUMIFS(BASE!$J$7:$J$126,BASE!$G$7:$G$126,$F$2,BASE!$H$7:$H$126,$E13)</f>
        <v>26</v>
      </c>
      <c r="G13" s="10"/>
      <c r="H13" s="11">
        <f t="shared" si="0"/>
        <v>0</v>
      </c>
      <c r="I13" s="11">
        <f t="shared" si="1"/>
        <v>0</v>
      </c>
      <c r="J13" s="11">
        <f>SUMIFS(BASE!$L$7:$L$126,BASE!$G$7:$G$126,$F$2,BASE!$H$7:$H$126,$E13)</f>
        <v>0</v>
      </c>
      <c r="K13" s="13" t="str">
        <f t="shared" si="2"/>
        <v/>
      </c>
      <c r="L13" s="11" t="str">
        <f t="shared" si="3"/>
        <v/>
      </c>
      <c r="M13" s="11" t="str">
        <f t="shared" si="4"/>
        <v/>
      </c>
      <c r="N13" s="12" t="str">
        <f>IFERROR($J13/SUMIFS(BASE!$J$7:$J$126,BASE!$G$7:$G$126,$F$2,BASE!$H$7:$H$126,$E13)*SUMIFS(BASE!$I$7:$I$126,BASE!$G$7:$G$126,$F$2,BASE!$H$7:$H$126,$E13),"")</f>
        <v/>
      </c>
      <c r="O13" s="14" t="str">
        <f t="shared" si="5"/>
        <v/>
      </c>
    </row>
    <row r="14" spans="5:15" ht="19.5" customHeight="1" x14ac:dyDescent="0.25">
      <c r="E14" s="8" t="s">
        <v>25</v>
      </c>
      <c r="F14" s="9">
        <f>SUMIFS(BASE!$I$7:$I$126,BASE!$G$7:$G$126,$F$2,BASE!$H$7:$H$126,$E14)-SUMIFS(BASE!$J$7:$J$126,BASE!$G$7:$G$126,$F$2,BASE!$H$7:$H$126,$E14)</f>
        <v>26</v>
      </c>
      <c r="G14" s="10"/>
      <c r="H14" s="11">
        <f t="shared" si="0"/>
        <v>0</v>
      </c>
      <c r="I14" s="11">
        <f t="shared" si="1"/>
        <v>0</v>
      </c>
      <c r="J14" s="11">
        <f>SUMIFS(BASE!$L$7:$L$126,BASE!$G$7:$G$126,$F$2,BASE!$H$7:$H$126,$E14)</f>
        <v>0</v>
      </c>
      <c r="K14" s="13" t="str">
        <f t="shared" si="2"/>
        <v/>
      </c>
      <c r="L14" s="11" t="str">
        <f t="shared" si="3"/>
        <v/>
      </c>
      <c r="M14" s="11" t="str">
        <f t="shared" si="4"/>
        <v/>
      </c>
      <c r="N14" s="12" t="str">
        <f>IFERROR($J14/SUMIFS(BASE!$J$7:$J$126,BASE!$G$7:$G$126,$F$2,BASE!$H$7:$H$126,$E14)*SUMIFS(BASE!$I$7:$I$126,BASE!$G$7:$G$126,$F$2,BASE!$H$7:$H$126,$E14),"")</f>
        <v/>
      </c>
      <c r="O14" s="14" t="str">
        <f t="shared" si="5"/>
        <v/>
      </c>
    </row>
    <row r="15" spans="5:15" ht="19.5" customHeight="1" x14ac:dyDescent="0.25">
      <c r="E15" s="8" t="s">
        <v>26</v>
      </c>
      <c r="F15" s="9">
        <f>SUMIFS(BASE!$I$7:$I$126,BASE!$G$7:$G$126,$F$2,BASE!$H$7:$H$126,$E15)-SUMIFS(BASE!$J$7:$J$126,BASE!$G$7:$G$126,$F$2,BASE!$H$7:$H$126,$E15)</f>
        <v>26</v>
      </c>
      <c r="G15" s="10"/>
      <c r="H15" s="11">
        <f t="shared" si="0"/>
        <v>0</v>
      </c>
      <c r="I15" s="11">
        <f t="shared" si="1"/>
        <v>0</v>
      </c>
      <c r="J15" s="11">
        <f>SUMIFS(BASE!$L$7:$L$126,BASE!$G$7:$G$126,$F$2,BASE!$H$7:$H$126,$E15)</f>
        <v>0</v>
      </c>
      <c r="K15" s="13" t="str">
        <f t="shared" si="2"/>
        <v/>
      </c>
      <c r="L15" s="11" t="str">
        <f t="shared" si="3"/>
        <v/>
      </c>
      <c r="M15" s="11" t="str">
        <f t="shared" si="4"/>
        <v/>
      </c>
      <c r="N15" s="12" t="str">
        <f>IFERROR($J15/SUMIFS(BASE!$J$7:$J$126,BASE!$G$7:$G$126,$F$2,BASE!$H$7:$H$126,$E15)*SUMIFS(BASE!$I$7:$I$126,BASE!$G$7:$G$126,$F$2,BASE!$H$7:$H$126,$E15),"")</f>
        <v/>
      </c>
      <c r="O15" s="14" t="str">
        <f t="shared" si="5"/>
        <v/>
      </c>
    </row>
    <row r="16" spans="5:15" ht="19.5" customHeight="1" x14ac:dyDescent="0.25">
      <c r="E16" s="8" t="s">
        <v>27</v>
      </c>
      <c r="F16" s="9">
        <f>SUMIFS(BASE!$I$7:$I$126,BASE!$G$7:$G$126,$F$2,BASE!$H$7:$H$126,$E16)-SUMIFS(BASE!$J$7:$J$126,BASE!$G$7:$G$126,$F$2,BASE!$H$7:$H$126,$E16)</f>
        <v>26</v>
      </c>
      <c r="G16" s="11">
        <f>SUMIFS(BASE!$K$7:$K$126,BASE!$G$7:$G$126,$F$2,BASE!$H$7:$H$126,$E16)</f>
        <v>0</v>
      </c>
      <c r="H16" s="11">
        <f t="shared" si="0"/>
        <v>0</v>
      </c>
      <c r="I16" s="11">
        <f t="shared" si="1"/>
        <v>0</v>
      </c>
      <c r="J16" s="11">
        <f>SUMIFS(BASE!$L$7:$L$126,BASE!$G$7:$G$126,$F$2,BASE!$H$7:$H$126,$E16)</f>
        <v>0</v>
      </c>
      <c r="K16" s="13" t="str">
        <f t="shared" si="2"/>
        <v/>
      </c>
      <c r="L16" s="11" t="str">
        <f t="shared" si="3"/>
        <v/>
      </c>
      <c r="M16" s="11" t="str">
        <f t="shared" si="4"/>
        <v/>
      </c>
      <c r="N16" s="12" t="str">
        <f>IFERROR($J16/SUMIFS(BASE!$J$7:$J$126,BASE!$G$7:$G$126,$F$2,BASE!$H$7:$H$126,$E16)*SUMIFS(BASE!$I$7:$I$126,BASE!$G$7:$G$126,$F$2,BASE!$H$7:$H$126,$E16),"")</f>
        <v/>
      </c>
      <c r="O16" s="14" t="str">
        <f t="shared" si="5"/>
        <v/>
      </c>
    </row>
    <row r="17" spans="5:15" x14ac:dyDescent="0.25">
      <c r="E17" s="52" t="s">
        <v>28</v>
      </c>
      <c r="F17" s="53"/>
      <c r="G17" s="54">
        <f>SUM(G7:G16)</f>
        <v>159125</v>
      </c>
      <c r="H17" s="54">
        <f>SUM(H7:H16)</f>
        <v>178220.00000000003</v>
      </c>
      <c r="I17" s="54">
        <f>SUM(I7:I16)</f>
        <v>206862.5</v>
      </c>
      <c r="J17" s="54">
        <f>SUM(J7:J16)</f>
        <v>0</v>
      </c>
      <c r="K17" s="55">
        <f>IFERROR(J17/G17,"")</f>
        <v>0</v>
      </c>
      <c r="L17" s="54">
        <f>SUM(L7:L16)</f>
        <v>159125</v>
      </c>
      <c r="M17" s="54">
        <f>SUM(M7:M16)</f>
        <v>6120.1923076923076</v>
      </c>
      <c r="N17" s="54">
        <f>SUM(N7:N16)</f>
        <v>0</v>
      </c>
      <c r="O17" s="56"/>
    </row>
    <row r="19" spans="5:15" x14ac:dyDescent="0.25">
      <c r="E19" s="1" t="s">
        <v>29</v>
      </c>
    </row>
  </sheetData>
  <conditionalFormatting sqref="K7:K17">
    <cfRule type="cellIs" dxfId="4" priority="2" operator="greaterThanOrEqual">
      <formula>1</formula>
    </cfRule>
    <cfRule type="cellIs" dxfId="3" priority="3" operator="between">
      <formula>0.85</formula>
      <formula>0.9999</formula>
    </cfRule>
    <cfRule type="cellIs" dxfId="2" priority="4" operator="lessThan">
      <formula>0.85</formula>
    </cfRule>
  </conditionalFormatting>
  <dataValidations count="1">
    <dataValidation type="list" sqref="F2" xr:uid="{00000000-0002-0000-0000-000000000000}">
      <formula1>"JANEIRO,FEVEREIRO,MARÇO,ABRIL,MAIO,JUNHO,JULHO,AGOSTO,SETEMBRO,OUTUBRO,NOVEMBRO,DEZEMBRO"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:O128"/>
  <sheetViews>
    <sheetView showGridLines="0" zoomScaleNormal="100" workbookViewId="0">
      <pane ySplit="6" topLeftCell="A19" activePane="bottomLeft" state="frozen"/>
      <selection pane="bottomLeft" activeCell="S11" sqref="S11"/>
    </sheetView>
  </sheetViews>
  <sheetFormatPr defaultColWidth="8.7109375" defaultRowHeight="15" x14ac:dyDescent="0.25"/>
  <cols>
    <col min="7" max="7" width="14" style="5" customWidth="1"/>
    <col min="8" max="8" width="22" style="5" customWidth="1"/>
    <col min="9" max="9" width="14" style="5" customWidth="1"/>
    <col min="10" max="11" width="15" style="5" customWidth="1"/>
    <col min="12" max="12" width="15.28515625" style="5" bestFit="1" customWidth="1"/>
    <col min="13" max="15" width="8.7109375" style="5"/>
  </cols>
  <sheetData>
    <row r="1" spans="7:14" ht="24" customHeight="1" x14ac:dyDescent="0.3">
      <c r="G1" s="15" t="s">
        <v>30</v>
      </c>
      <c r="H1" s="15"/>
      <c r="I1" s="15"/>
      <c r="J1" s="15"/>
      <c r="K1" s="15"/>
      <c r="L1" s="15"/>
    </row>
    <row r="2" spans="7:14" ht="35.25" customHeight="1" x14ac:dyDescent="0.25">
      <c r="G2" s="26" t="s">
        <v>31</v>
      </c>
      <c r="H2" s="26"/>
      <c r="I2" s="26"/>
      <c r="J2" s="26"/>
      <c r="K2" s="26"/>
      <c r="L2" s="26"/>
      <c r="M2" s="27"/>
      <c r="N2" s="27"/>
    </row>
    <row r="3" spans="7:14" x14ac:dyDescent="0.25">
      <c r="G3" s="27"/>
      <c r="H3" s="27"/>
      <c r="I3" s="27"/>
      <c r="J3" s="27"/>
      <c r="K3" s="27"/>
      <c r="L3" s="27"/>
      <c r="M3" s="27"/>
      <c r="N3" s="27"/>
    </row>
    <row r="4" spans="7:14" x14ac:dyDescent="0.25">
      <c r="G4" s="28" t="s">
        <v>32</v>
      </c>
      <c r="H4" s="28"/>
      <c r="I4" s="28"/>
      <c r="J4" s="28"/>
      <c r="K4" s="28"/>
      <c r="L4" s="28"/>
    </row>
    <row r="6" spans="7:14" ht="31.5" customHeight="1" x14ac:dyDescent="0.25">
      <c r="G6" s="16" t="s">
        <v>33</v>
      </c>
      <c r="H6" s="16" t="s">
        <v>7</v>
      </c>
      <c r="I6" s="16" t="s">
        <v>34</v>
      </c>
      <c r="J6" s="16" t="s">
        <v>35</v>
      </c>
      <c r="K6" s="16" t="s">
        <v>9</v>
      </c>
      <c r="L6" s="16" t="s">
        <v>36</v>
      </c>
    </row>
    <row r="7" spans="7:14" x14ac:dyDescent="0.25">
      <c r="G7" s="17" t="s">
        <v>37</v>
      </c>
      <c r="H7" s="18" t="s">
        <v>18</v>
      </c>
      <c r="I7" s="19">
        <v>26</v>
      </c>
      <c r="J7" s="19">
        <v>26</v>
      </c>
      <c r="K7" s="20">
        <v>104672</v>
      </c>
      <c r="L7" s="20">
        <v>115212.11</v>
      </c>
    </row>
    <row r="8" spans="7:14" x14ac:dyDescent="0.25">
      <c r="G8" s="17" t="s">
        <v>37</v>
      </c>
      <c r="H8" s="18" t="s">
        <v>19</v>
      </c>
      <c r="I8" s="19">
        <v>26</v>
      </c>
      <c r="J8" s="19">
        <v>26</v>
      </c>
      <c r="K8" s="20"/>
      <c r="L8" s="20"/>
    </row>
    <row r="9" spans="7:14" x14ac:dyDescent="0.25">
      <c r="G9" s="17" t="s">
        <v>37</v>
      </c>
      <c r="H9" s="18" t="s">
        <v>20</v>
      </c>
      <c r="I9" s="19">
        <v>26</v>
      </c>
      <c r="J9" s="19">
        <v>26</v>
      </c>
      <c r="K9" s="20">
        <v>120000</v>
      </c>
      <c r="L9" s="20">
        <v>101425.86</v>
      </c>
    </row>
    <row r="10" spans="7:14" x14ac:dyDescent="0.25">
      <c r="G10" s="17" t="s">
        <v>37</v>
      </c>
      <c r="H10" s="18" t="s">
        <v>21</v>
      </c>
      <c r="I10" s="19">
        <v>26</v>
      </c>
      <c r="J10" s="19">
        <v>26</v>
      </c>
      <c r="K10" s="20">
        <v>101199</v>
      </c>
      <c r="L10" s="20">
        <v>87927.27</v>
      </c>
    </row>
    <row r="11" spans="7:14" x14ac:dyDescent="0.25">
      <c r="G11" s="17" t="s">
        <v>37</v>
      </c>
      <c r="H11" s="18" t="s">
        <v>22</v>
      </c>
      <c r="I11" s="19">
        <v>26</v>
      </c>
      <c r="J11" s="19">
        <v>26</v>
      </c>
      <c r="K11" s="20">
        <v>205272</v>
      </c>
      <c r="L11" s="20">
        <v>127540.82</v>
      </c>
    </row>
    <row r="12" spans="7:14" x14ac:dyDescent="0.25">
      <c r="G12" s="17" t="s">
        <v>37</v>
      </c>
      <c r="H12" s="18" t="s">
        <v>23</v>
      </c>
      <c r="I12" s="19">
        <v>26</v>
      </c>
      <c r="J12" s="19">
        <v>26</v>
      </c>
      <c r="K12" s="20">
        <v>110000</v>
      </c>
      <c r="L12" s="20">
        <v>80248.13</v>
      </c>
    </row>
    <row r="13" spans="7:14" x14ac:dyDescent="0.25">
      <c r="G13" s="17" t="s">
        <v>37</v>
      </c>
      <c r="H13" s="18" t="s">
        <v>24</v>
      </c>
      <c r="I13" s="19">
        <v>26</v>
      </c>
      <c r="J13" s="19">
        <v>26</v>
      </c>
      <c r="K13" s="20">
        <v>180000</v>
      </c>
      <c r="L13" s="20">
        <v>134077.70000000001</v>
      </c>
    </row>
    <row r="14" spans="7:14" x14ac:dyDescent="0.25">
      <c r="G14" s="17" t="s">
        <v>37</v>
      </c>
      <c r="H14" s="18" t="s">
        <v>25</v>
      </c>
      <c r="I14" s="19">
        <v>26</v>
      </c>
      <c r="J14" s="19">
        <v>26</v>
      </c>
      <c r="K14" s="20">
        <v>141778</v>
      </c>
      <c r="L14" s="20">
        <v>135322.99</v>
      </c>
    </row>
    <row r="15" spans="7:14" x14ac:dyDescent="0.25">
      <c r="G15" s="17" t="s">
        <v>37</v>
      </c>
      <c r="H15" s="18" t="s">
        <v>26</v>
      </c>
      <c r="I15" s="19">
        <v>26</v>
      </c>
      <c r="J15" s="19">
        <v>26</v>
      </c>
      <c r="K15" s="20">
        <v>120000</v>
      </c>
      <c r="L15" s="20">
        <v>101310.26</v>
      </c>
    </row>
    <row r="16" spans="7:14" x14ac:dyDescent="0.25">
      <c r="G16" s="17" t="s">
        <v>37</v>
      </c>
      <c r="H16" s="18" t="s">
        <v>27</v>
      </c>
      <c r="I16" s="19">
        <v>26</v>
      </c>
      <c r="J16" s="19">
        <v>26</v>
      </c>
      <c r="K16" s="20">
        <v>140000</v>
      </c>
      <c r="L16" s="20">
        <v>152021.53</v>
      </c>
    </row>
    <row r="17" spans="7:12" x14ac:dyDescent="0.25">
      <c r="G17" s="21" t="s">
        <v>38</v>
      </c>
      <c r="H17" s="22" t="s">
        <v>18</v>
      </c>
      <c r="I17" s="23">
        <v>26</v>
      </c>
      <c r="J17" s="23">
        <v>26</v>
      </c>
      <c r="K17" s="24">
        <v>123284</v>
      </c>
      <c r="L17" s="24">
        <v>84654.27</v>
      </c>
    </row>
    <row r="18" spans="7:12" x14ac:dyDescent="0.25">
      <c r="G18" s="17" t="s">
        <v>38</v>
      </c>
      <c r="H18" s="18" t="s">
        <v>19</v>
      </c>
      <c r="I18" s="19">
        <v>26</v>
      </c>
      <c r="J18" s="19">
        <v>26</v>
      </c>
      <c r="K18" s="20"/>
      <c r="L18" s="20"/>
    </row>
    <row r="19" spans="7:12" x14ac:dyDescent="0.25">
      <c r="G19" s="17" t="s">
        <v>38</v>
      </c>
      <c r="H19" s="18" t="s">
        <v>20</v>
      </c>
      <c r="I19" s="19">
        <v>26</v>
      </c>
      <c r="J19" s="19">
        <v>26</v>
      </c>
      <c r="K19" s="20">
        <v>120000</v>
      </c>
      <c r="L19" s="20">
        <v>85034.68</v>
      </c>
    </row>
    <row r="20" spans="7:12" x14ac:dyDescent="0.25">
      <c r="G20" s="17" t="s">
        <v>38</v>
      </c>
      <c r="H20" s="18" t="s">
        <v>21</v>
      </c>
      <c r="I20" s="19">
        <v>26</v>
      </c>
      <c r="J20" s="19">
        <v>26</v>
      </c>
      <c r="K20" s="20">
        <v>110000</v>
      </c>
      <c r="L20" s="20">
        <v>61886.97</v>
      </c>
    </row>
    <row r="21" spans="7:12" x14ac:dyDescent="0.25">
      <c r="G21" s="17" t="s">
        <v>38</v>
      </c>
      <c r="H21" s="18" t="s">
        <v>22</v>
      </c>
      <c r="I21" s="19">
        <v>26</v>
      </c>
      <c r="J21" s="19">
        <v>26</v>
      </c>
      <c r="K21" s="20">
        <v>158000</v>
      </c>
      <c r="L21" s="20">
        <v>94696.8</v>
      </c>
    </row>
    <row r="22" spans="7:12" x14ac:dyDescent="0.25">
      <c r="G22" s="17" t="s">
        <v>38</v>
      </c>
      <c r="H22" s="18" t="s">
        <v>23</v>
      </c>
      <c r="I22" s="19">
        <v>26</v>
      </c>
      <c r="J22" s="19">
        <v>26</v>
      </c>
      <c r="K22" s="20">
        <v>105000</v>
      </c>
      <c r="L22" s="20">
        <v>58266.17</v>
      </c>
    </row>
    <row r="23" spans="7:12" x14ac:dyDescent="0.25">
      <c r="G23" s="17" t="s">
        <v>38</v>
      </c>
      <c r="H23" s="18" t="s">
        <v>24</v>
      </c>
      <c r="I23" s="19">
        <v>26</v>
      </c>
      <c r="J23" s="19">
        <v>26</v>
      </c>
      <c r="K23" s="20">
        <v>168000</v>
      </c>
      <c r="L23" s="20">
        <v>107305.48</v>
      </c>
    </row>
    <row r="24" spans="7:12" x14ac:dyDescent="0.25">
      <c r="G24" s="17" t="s">
        <v>38</v>
      </c>
      <c r="H24" s="18" t="s">
        <v>25</v>
      </c>
      <c r="I24" s="19">
        <v>26</v>
      </c>
      <c r="J24" s="19">
        <v>26</v>
      </c>
      <c r="K24" s="20">
        <v>165000</v>
      </c>
      <c r="L24" s="20">
        <v>102918.8</v>
      </c>
    </row>
    <row r="25" spans="7:12" x14ac:dyDescent="0.25">
      <c r="G25" s="17" t="s">
        <v>38</v>
      </c>
      <c r="H25" s="18" t="s">
        <v>26</v>
      </c>
      <c r="I25" s="19">
        <v>26</v>
      </c>
      <c r="J25" s="19">
        <v>26</v>
      </c>
      <c r="K25" s="20">
        <v>145000</v>
      </c>
      <c r="L25" s="20">
        <v>88651.15</v>
      </c>
    </row>
    <row r="26" spans="7:12" x14ac:dyDescent="0.25">
      <c r="G26" s="17" t="s">
        <v>38</v>
      </c>
      <c r="H26" s="18" t="s">
        <v>27</v>
      </c>
      <c r="I26" s="19">
        <v>26</v>
      </c>
      <c r="J26" s="19">
        <v>26</v>
      </c>
      <c r="K26" s="20">
        <v>147000</v>
      </c>
      <c r="L26" s="20">
        <v>108206.22</v>
      </c>
    </row>
    <row r="27" spans="7:12" x14ac:dyDescent="0.25">
      <c r="G27" s="21" t="s">
        <v>39</v>
      </c>
      <c r="H27" s="22" t="s">
        <v>18</v>
      </c>
      <c r="I27" s="23">
        <v>26</v>
      </c>
      <c r="J27" s="23">
        <v>26</v>
      </c>
      <c r="K27" s="24">
        <v>150000</v>
      </c>
      <c r="L27" s="24">
        <v>160893.47</v>
      </c>
    </row>
    <row r="28" spans="7:12" x14ac:dyDescent="0.25">
      <c r="G28" s="17" t="s">
        <v>39</v>
      </c>
      <c r="H28" s="18" t="s">
        <v>19</v>
      </c>
      <c r="I28" s="19">
        <v>26</v>
      </c>
      <c r="J28" s="19">
        <v>26</v>
      </c>
      <c r="K28" s="20"/>
      <c r="L28" s="20"/>
    </row>
    <row r="29" spans="7:12" x14ac:dyDescent="0.25">
      <c r="G29" s="17" t="s">
        <v>39</v>
      </c>
      <c r="H29" s="18" t="s">
        <v>20</v>
      </c>
      <c r="I29" s="19">
        <v>26</v>
      </c>
      <c r="J29" s="19">
        <v>26</v>
      </c>
      <c r="K29" s="20">
        <v>130000</v>
      </c>
      <c r="L29" s="20">
        <v>135921.39000000001</v>
      </c>
    </row>
    <row r="30" spans="7:12" x14ac:dyDescent="0.25">
      <c r="G30" s="17" t="s">
        <v>39</v>
      </c>
      <c r="H30" s="18" t="s">
        <v>21</v>
      </c>
      <c r="I30" s="19">
        <v>26</v>
      </c>
      <c r="J30" s="19">
        <v>26</v>
      </c>
      <c r="K30" s="20">
        <v>103829</v>
      </c>
      <c r="L30" s="20">
        <v>111317.47</v>
      </c>
    </row>
    <row r="31" spans="7:12" x14ac:dyDescent="0.25">
      <c r="G31" s="17" t="s">
        <v>39</v>
      </c>
      <c r="H31" s="18" t="s">
        <v>22</v>
      </c>
      <c r="I31" s="19">
        <v>26</v>
      </c>
      <c r="J31" s="19">
        <v>26</v>
      </c>
      <c r="K31" s="20">
        <v>155000</v>
      </c>
      <c r="L31" s="20">
        <v>211346.6</v>
      </c>
    </row>
    <row r="32" spans="7:12" x14ac:dyDescent="0.25">
      <c r="G32" s="17" t="s">
        <v>39</v>
      </c>
      <c r="H32" s="18" t="s">
        <v>23</v>
      </c>
      <c r="I32" s="19">
        <v>26</v>
      </c>
      <c r="J32" s="19">
        <v>26</v>
      </c>
      <c r="K32" s="20">
        <v>91449</v>
      </c>
      <c r="L32" s="20">
        <v>127108.93</v>
      </c>
    </row>
    <row r="33" spans="7:12" x14ac:dyDescent="0.25">
      <c r="G33" s="17" t="s">
        <v>39</v>
      </c>
      <c r="H33" s="18" t="s">
        <v>24</v>
      </c>
      <c r="I33" s="19">
        <v>26</v>
      </c>
      <c r="J33" s="19">
        <v>26</v>
      </c>
      <c r="K33" s="20">
        <v>180000</v>
      </c>
      <c r="L33" s="20">
        <v>191891.56</v>
      </c>
    </row>
    <row r="34" spans="7:12" x14ac:dyDescent="0.25">
      <c r="G34" s="17" t="s">
        <v>39</v>
      </c>
      <c r="H34" s="18" t="s">
        <v>25</v>
      </c>
      <c r="I34" s="19">
        <v>26</v>
      </c>
      <c r="J34" s="19">
        <v>26</v>
      </c>
      <c r="K34" s="20">
        <v>152920</v>
      </c>
      <c r="L34" s="20">
        <v>189167.41</v>
      </c>
    </row>
    <row r="35" spans="7:12" x14ac:dyDescent="0.25">
      <c r="G35" s="17" t="s">
        <v>39</v>
      </c>
      <c r="H35" s="18" t="s">
        <v>26</v>
      </c>
      <c r="I35" s="19">
        <v>26</v>
      </c>
      <c r="J35" s="19">
        <v>26</v>
      </c>
      <c r="K35" s="20">
        <v>155000</v>
      </c>
      <c r="L35" s="20">
        <v>166004.89000000001</v>
      </c>
    </row>
    <row r="36" spans="7:12" x14ac:dyDescent="0.25">
      <c r="G36" s="17" t="s">
        <v>39</v>
      </c>
      <c r="H36" s="18" t="s">
        <v>27</v>
      </c>
      <c r="I36" s="19">
        <v>26</v>
      </c>
      <c r="J36" s="19">
        <v>26</v>
      </c>
      <c r="K36" s="20">
        <v>167493</v>
      </c>
      <c r="L36" s="20">
        <v>210418.91</v>
      </c>
    </row>
    <row r="37" spans="7:12" x14ac:dyDescent="0.25">
      <c r="G37" s="21" t="s">
        <v>40</v>
      </c>
      <c r="H37" s="22" t="s">
        <v>18</v>
      </c>
      <c r="I37" s="23">
        <v>26</v>
      </c>
      <c r="J37" s="23">
        <v>26</v>
      </c>
      <c r="K37" s="24">
        <v>150000</v>
      </c>
      <c r="L37" s="24">
        <v>132007.35</v>
      </c>
    </row>
    <row r="38" spans="7:12" x14ac:dyDescent="0.25">
      <c r="G38" s="17" t="s">
        <v>40</v>
      </c>
      <c r="H38" s="18" t="s">
        <v>19</v>
      </c>
      <c r="I38" s="19">
        <v>26</v>
      </c>
      <c r="J38" s="19">
        <v>26</v>
      </c>
      <c r="K38" s="20"/>
      <c r="L38" s="20"/>
    </row>
    <row r="39" spans="7:12" x14ac:dyDescent="0.25">
      <c r="G39" s="17" t="s">
        <v>40</v>
      </c>
      <c r="H39" s="18" t="s">
        <v>20</v>
      </c>
      <c r="I39" s="19">
        <v>26</v>
      </c>
      <c r="J39" s="19">
        <v>26</v>
      </c>
      <c r="K39" s="20">
        <v>124012</v>
      </c>
      <c r="L39" s="20">
        <v>127244.65</v>
      </c>
    </row>
    <row r="40" spans="7:12" x14ac:dyDescent="0.25">
      <c r="G40" s="17" t="s">
        <v>40</v>
      </c>
      <c r="H40" s="18" t="s">
        <v>21</v>
      </c>
      <c r="I40" s="19">
        <v>26</v>
      </c>
      <c r="J40" s="19">
        <v>26</v>
      </c>
      <c r="K40" s="20">
        <v>120000</v>
      </c>
      <c r="L40" s="20">
        <v>104741.32</v>
      </c>
    </row>
    <row r="41" spans="7:12" x14ac:dyDescent="0.25">
      <c r="G41" s="17" t="s">
        <v>40</v>
      </c>
      <c r="H41" s="18" t="s">
        <v>22</v>
      </c>
      <c r="I41" s="19">
        <v>26</v>
      </c>
      <c r="J41" s="19">
        <v>26</v>
      </c>
      <c r="K41" s="20">
        <v>180000</v>
      </c>
      <c r="L41" s="20">
        <v>141908.95000000001</v>
      </c>
    </row>
    <row r="42" spans="7:12" x14ac:dyDescent="0.25">
      <c r="G42" s="17" t="s">
        <v>40</v>
      </c>
      <c r="H42" s="18" t="s">
        <v>23</v>
      </c>
      <c r="I42" s="19">
        <v>26</v>
      </c>
      <c r="J42" s="19">
        <v>26</v>
      </c>
      <c r="K42" s="20">
        <v>115000</v>
      </c>
      <c r="L42" s="20">
        <v>92795.8</v>
      </c>
    </row>
    <row r="43" spans="7:12" x14ac:dyDescent="0.25">
      <c r="G43" s="17" t="s">
        <v>40</v>
      </c>
      <c r="H43" s="18" t="s">
        <v>24</v>
      </c>
      <c r="I43" s="19">
        <v>26</v>
      </c>
      <c r="J43" s="19">
        <v>26</v>
      </c>
      <c r="K43" s="20">
        <v>174501</v>
      </c>
      <c r="L43" s="20">
        <v>163215.60999999999</v>
      </c>
    </row>
    <row r="44" spans="7:12" x14ac:dyDescent="0.25">
      <c r="G44" s="17" t="s">
        <v>40</v>
      </c>
      <c r="H44" s="18" t="s">
        <v>25</v>
      </c>
      <c r="I44" s="19">
        <v>26</v>
      </c>
      <c r="J44" s="19">
        <v>26</v>
      </c>
      <c r="K44" s="20">
        <v>171029</v>
      </c>
      <c r="L44" s="20">
        <v>176400.42</v>
      </c>
    </row>
    <row r="45" spans="7:12" x14ac:dyDescent="0.25">
      <c r="G45" s="17" t="s">
        <v>40</v>
      </c>
      <c r="H45" s="18" t="s">
        <v>26</v>
      </c>
      <c r="I45" s="19">
        <v>26</v>
      </c>
      <c r="J45" s="19">
        <v>26</v>
      </c>
      <c r="K45" s="20">
        <v>150000</v>
      </c>
      <c r="L45" s="20">
        <v>144467.88</v>
      </c>
    </row>
    <row r="46" spans="7:12" x14ac:dyDescent="0.25">
      <c r="G46" s="17" t="s">
        <v>40</v>
      </c>
      <c r="H46" s="18" t="s">
        <v>27</v>
      </c>
      <c r="I46" s="19">
        <v>26</v>
      </c>
      <c r="J46" s="19">
        <v>26</v>
      </c>
      <c r="K46" s="20">
        <v>178902</v>
      </c>
      <c r="L46" s="20">
        <v>185511.58</v>
      </c>
    </row>
    <row r="47" spans="7:12" x14ac:dyDescent="0.25">
      <c r="G47" s="21" t="s">
        <v>2</v>
      </c>
      <c r="H47" s="22" t="s">
        <v>18</v>
      </c>
      <c r="I47" s="23">
        <v>26</v>
      </c>
      <c r="J47" s="23">
        <v>26</v>
      </c>
      <c r="K47" s="24">
        <v>233744</v>
      </c>
      <c r="L47" s="24">
        <v>149548.5</v>
      </c>
    </row>
    <row r="48" spans="7:12" x14ac:dyDescent="0.25">
      <c r="G48" s="17" t="s">
        <v>2</v>
      </c>
      <c r="H48" s="18" t="s">
        <v>19</v>
      </c>
      <c r="I48" s="19">
        <v>26</v>
      </c>
      <c r="J48" s="19">
        <v>26</v>
      </c>
      <c r="K48" s="20"/>
      <c r="L48" s="20"/>
    </row>
    <row r="49" spans="7:12" x14ac:dyDescent="0.25">
      <c r="G49" s="17" t="s">
        <v>2</v>
      </c>
      <c r="H49" s="18" t="s">
        <v>20</v>
      </c>
      <c r="I49" s="19">
        <v>26</v>
      </c>
      <c r="J49" s="19">
        <v>26</v>
      </c>
      <c r="K49" s="20">
        <v>167300</v>
      </c>
      <c r="L49" s="20">
        <v>95764.39</v>
      </c>
    </row>
    <row r="50" spans="7:12" x14ac:dyDescent="0.25">
      <c r="G50" s="17" t="s">
        <v>2</v>
      </c>
      <c r="H50" s="18" t="s">
        <v>21</v>
      </c>
      <c r="I50" s="19">
        <v>26</v>
      </c>
      <c r="J50" s="19">
        <v>26</v>
      </c>
      <c r="K50" s="20">
        <v>169598</v>
      </c>
      <c r="L50" s="20">
        <v>102588.12</v>
      </c>
    </row>
    <row r="51" spans="7:12" x14ac:dyDescent="0.25">
      <c r="G51" s="17" t="s">
        <v>2</v>
      </c>
      <c r="H51" s="18" t="s">
        <v>22</v>
      </c>
      <c r="I51" s="19">
        <v>26</v>
      </c>
      <c r="J51" s="19">
        <v>26</v>
      </c>
      <c r="K51" s="20">
        <v>220000</v>
      </c>
      <c r="L51" s="20">
        <v>135115.64000000001</v>
      </c>
    </row>
    <row r="52" spans="7:12" x14ac:dyDescent="0.25">
      <c r="G52" s="17" t="s">
        <v>2</v>
      </c>
      <c r="H52" s="18" t="s">
        <v>23</v>
      </c>
      <c r="I52" s="19">
        <v>26</v>
      </c>
      <c r="J52" s="19">
        <v>26</v>
      </c>
      <c r="K52" s="20">
        <v>152846</v>
      </c>
      <c r="L52" s="20">
        <v>91900.81</v>
      </c>
    </row>
    <row r="53" spans="7:12" x14ac:dyDescent="0.25">
      <c r="G53" s="17" t="s">
        <v>2</v>
      </c>
      <c r="H53" s="18" t="s">
        <v>24</v>
      </c>
      <c r="I53" s="19">
        <v>26</v>
      </c>
      <c r="J53" s="19">
        <v>26</v>
      </c>
      <c r="K53" s="20">
        <v>200000</v>
      </c>
      <c r="L53" s="20">
        <v>113166.98</v>
      </c>
    </row>
    <row r="54" spans="7:12" x14ac:dyDescent="0.25">
      <c r="G54" s="17" t="s">
        <v>2</v>
      </c>
      <c r="H54" s="18" t="s">
        <v>25</v>
      </c>
      <c r="I54" s="19">
        <v>26</v>
      </c>
      <c r="J54" s="19">
        <v>26</v>
      </c>
      <c r="K54" s="20">
        <v>235633</v>
      </c>
      <c r="L54" s="20">
        <v>146808.19</v>
      </c>
    </row>
    <row r="55" spans="7:12" x14ac:dyDescent="0.25">
      <c r="G55" s="17" t="s">
        <v>2</v>
      </c>
      <c r="H55" s="18" t="s">
        <v>26</v>
      </c>
      <c r="I55" s="19">
        <v>26</v>
      </c>
      <c r="J55" s="19">
        <v>26</v>
      </c>
      <c r="K55" s="20">
        <v>180000</v>
      </c>
      <c r="L55" s="20">
        <v>139354.01</v>
      </c>
    </row>
    <row r="56" spans="7:12" x14ac:dyDescent="0.25">
      <c r="G56" s="17" t="s">
        <v>2</v>
      </c>
      <c r="H56" s="18" t="s">
        <v>27</v>
      </c>
      <c r="I56" s="19">
        <v>26</v>
      </c>
      <c r="J56" s="19">
        <v>26</v>
      </c>
      <c r="K56" s="20">
        <v>269314</v>
      </c>
      <c r="L56" s="20">
        <v>171648.07</v>
      </c>
    </row>
    <row r="57" spans="7:12" x14ac:dyDescent="0.25">
      <c r="G57" s="21" t="s">
        <v>41</v>
      </c>
      <c r="H57" s="22" t="s">
        <v>18</v>
      </c>
      <c r="I57" s="23">
        <v>26</v>
      </c>
      <c r="J57" s="23"/>
      <c r="K57" s="24"/>
      <c r="L57" s="24"/>
    </row>
    <row r="58" spans="7:12" x14ac:dyDescent="0.25">
      <c r="G58" s="17" t="s">
        <v>41</v>
      </c>
      <c r="H58" s="18" t="s">
        <v>19</v>
      </c>
      <c r="I58" s="19">
        <v>26</v>
      </c>
      <c r="J58" s="19"/>
      <c r="K58" s="20"/>
      <c r="L58" s="20"/>
    </row>
    <row r="59" spans="7:12" x14ac:dyDescent="0.25">
      <c r="G59" s="17" t="s">
        <v>41</v>
      </c>
      <c r="H59" s="18" t="s">
        <v>20</v>
      </c>
      <c r="I59" s="19">
        <v>26</v>
      </c>
      <c r="J59" s="19"/>
      <c r="K59" s="20"/>
      <c r="L59" s="20"/>
    </row>
    <row r="60" spans="7:12" x14ac:dyDescent="0.25">
      <c r="G60" s="17" t="s">
        <v>41</v>
      </c>
      <c r="H60" s="18" t="s">
        <v>21</v>
      </c>
      <c r="I60" s="19">
        <v>26</v>
      </c>
      <c r="J60" s="19"/>
      <c r="K60" s="20"/>
      <c r="L60" s="20"/>
    </row>
    <row r="61" spans="7:12" x14ac:dyDescent="0.25">
      <c r="G61" s="17" t="s">
        <v>41</v>
      </c>
      <c r="H61" s="18" t="s">
        <v>22</v>
      </c>
      <c r="I61" s="19">
        <v>26</v>
      </c>
      <c r="J61" s="19"/>
      <c r="K61" s="20"/>
      <c r="L61" s="20"/>
    </row>
    <row r="62" spans="7:12" x14ac:dyDescent="0.25">
      <c r="G62" s="17" t="s">
        <v>41</v>
      </c>
      <c r="H62" s="18" t="s">
        <v>23</v>
      </c>
      <c r="I62" s="19">
        <v>26</v>
      </c>
      <c r="J62" s="19"/>
      <c r="K62" s="20"/>
      <c r="L62" s="20"/>
    </row>
    <row r="63" spans="7:12" x14ac:dyDescent="0.25">
      <c r="G63" s="17" t="s">
        <v>41</v>
      </c>
      <c r="H63" s="18" t="s">
        <v>24</v>
      </c>
      <c r="I63" s="19">
        <v>26</v>
      </c>
      <c r="J63" s="19"/>
      <c r="K63" s="20"/>
      <c r="L63" s="20"/>
    </row>
    <row r="64" spans="7:12" x14ac:dyDescent="0.25">
      <c r="G64" s="17" t="s">
        <v>41</v>
      </c>
      <c r="H64" s="18" t="s">
        <v>25</v>
      </c>
      <c r="I64" s="19">
        <v>26</v>
      </c>
      <c r="J64" s="19"/>
      <c r="K64" s="20"/>
      <c r="L64" s="20"/>
    </row>
    <row r="65" spans="7:12" x14ac:dyDescent="0.25">
      <c r="G65" s="17" t="s">
        <v>41</v>
      </c>
      <c r="H65" s="18" t="s">
        <v>26</v>
      </c>
      <c r="I65" s="19">
        <v>26</v>
      </c>
      <c r="J65" s="19"/>
      <c r="K65" s="20"/>
      <c r="L65" s="20"/>
    </row>
    <row r="66" spans="7:12" x14ac:dyDescent="0.25">
      <c r="G66" s="17" t="s">
        <v>41</v>
      </c>
      <c r="H66" s="18" t="s">
        <v>27</v>
      </c>
      <c r="I66" s="19">
        <v>26</v>
      </c>
      <c r="J66" s="19"/>
      <c r="K66" s="20"/>
      <c r="L66" s="20"/>
    </row>
    <row r="67" spans="7:12" x14ac:dyDescent="0.25">
      <c r="G67" s="21" t="s">
        <v>42</v>
      </c>
      <c r="H67" s="22" t="s">
        <v>18</v>
      </c>
      <c r="I67" s="23">
        <v>26</v>
      </c>
      <c r="J67" s="23"/>
      <c r="K67" s="24"/>
      <c r="L67" s="24"/>
    </row>
    <row r="68" spans="7:12" x14ac:dyDescent="0.25">
      <c r="G68" s="17" t="s">
        <v>42</v>
      </c>
      <c r="H68" s="18" t="s">
        <v>19</v>
      </c>
      <c r="I68" s="19">
        <v>26</v>
      </c>
      <c r="J68" s="19"/>
      <c r="K68" s="20"/>
      <c r="L68" s="20"/>
    </row>
    <row r="69" spans="7:12" x14ac:dyDescent="0.25">
      <c r="G69" s="17" t="s">
        <v>42</v>
      </c>
      <c r="H69" s="18" t="s">
        <v>20</v>
      </c>
      <c r="I69" s="19">
        <v>26</v>
      </c>
      <c r="J69" s="19"/>
      <c r="K69" s="20"/>
      <c r="L69" s="20"/>
    </row>
    <row r="70" spans="7:12" x14ac:dyDescent="0.25">
      <c r="G70" s="17" t="s">
        <v>42</v>
      </c>
      <c r="H70" s="18" t="s">
        <v>21</v>
      </c>
      <c r="I70" s="19">
        <v>26</v>
      </c>
      <c r="J70" s="19"/>
      <c r="K70" s="20"/>
      <c r="L70" s="20"/>
    </row>
    <row r="71" spans="7:12" x14ac:dyDescent="0.25">
      <c r="G71" s="17" t="s">
        <v>42</v>
      </c>
      <c r="H71" s="18" t="s">
        <v>22</v>
      </c>
      <c r="I71" s="19">
        <v>26</v>
      </c>
      <c r="J71" s="19"/>
      <c r="K71" s="20"/>
      <c r="L71" s="20"/>
    </row>
    <row r="72" spans="7:12" x14ac:dyDescent="0.25">
      <c r="G72" s="17" t="s">
        <v>42</v>
      </c>
      <c r="H72" s="18" t="s">
        <v>23</v>
      </c>
      <c r="I72" s="19">
        <v>26</v>
      </c>
      <c r="J72" s="19"/>
      <c r="K72" s="20"/>
      <c r="L72" s="20"/>
    </row>
    <row r="73" spans="7:12" x14ac:dyDescent="0.25">
      <c r="G73" s="17" t="s">
        <v>42</v>
      </c>
      <c r="H73" s="18" t="s">
        <v>24</v>
      </c>
      <c r="I73" s="19">
        <v>26</v>
      </c>
      <c r="J73" s="19"/>
      <c r="K73" s="20"/>
      <c r="L73" s="20"/>
    </row>
    <row r="74" spans="7:12" x14ac:dyDescent="0.25">
      <c r="G74" s="17" t="s">
        <v>42</v>
      </c>
      <c r="H74" s="18" t="s">
        <v>25</v>
      </c>
      <c r="I74" s="19">
        <v>26</v>
      </c>
      <c r="J74" s="19"/>
      <c r="K74" s="20"/>
      <c r="L74" s="20"/>
    </row>
    <row r="75" spans="7:12" x14ac:dyDescent="0.25">
      <c r="G75" s="17" t="s">
        <v>42</v>
      </c>
      <c r="H75" s="18" t="s">
        <v>26</v>
      </c>
      <c r="I75" s="19">
        <v>26</v>
      </c>
      <c r="J75" s="19"/>
      <c r="K75" s="20"/>
      <c r="L75" s="20"/>
    </row>
    <row r="76" spans="7:12" x14ac:dyDescent="0.25">
      <c r="G76" s="17" t="s">
        <v>42</v>
      </c>
      <c r="H76" s="18" t="s">
        <v>27</v>
      </c>
      <c r="I76" s="19">
        <v>26</v>
      </c>
      <c r="J76" s="19"/>
      <c r="K76" s="20"/>
      <c r="L76" s="20"/>
    </row>
    <row r="77" spans="7:12" x14ac:dyDescent="0.25">
      <c r="G77" s="21" t="s">
        <v>43</v>
      </c>
      <c r="H77" s="22" t="s">
        <v>18</v>
      </c>
      <c r="I77" s="23">
        <v>26</v>
      </c>
      <c r="J77" s="23"/>
      <c r="K77" s="24"/>
      <c r="L77" s="24"/>
    </row>
    <row r="78" spans="7:12" x14ac:dyDescent="0.25">
      <c r="G78" s="17" t="s">
        <v>43</v>
      </c>
      <c r="H78" s="18" t="s">
        <v>19</v>
      </c>
      <c r="I78" s="19">
        <v>26</v>
      </c>
      <c r="J78" s="19"/>
      <c r="K78" s="20"/>
      <c r="L78" s="20"/>
    </row>
    <row r="79" spans="7:12" x14ac:dyDescent="0.25">
      <c r="G79" s="17" t="s">
        <v>43</v>
      </c>
      <c r="H79" s="18" t="s">
        <v>20</v>
      </c>
      <c r="I79" s="19">
        <v>26</v>
      </c>
      <c r="J79" s="19"/>
      <c r="K79" s="20"/>
      <c r="L79" s="20"/>
    </row>
    <row r="80" spans="7:12" x14ac:dyDescent="0.25">
      <c r="G80" s="17" t="s">
        <v>43</v>
      </c>
      <c r="H80" s="18" t="s">
        <v>21</v>
      </c>
      <c r="I80" s="19">
        <v>26</v>
      </c>
      <c r="J80" s="19"/>
      <c r="K80" s="20"/>
      <c r="L80" s="20"/>
    </row>
    <row r="81" spans="7:12" x14ac:dyDescent="0.25">
      <c r="G81" s="17" t="s">
        <v>43</v>
      </c>
      <c r="H81" s="18" t="s">
        <v>22</v>
      </c>
      <c r="I81" s="19">
        <v>26</v>
      </c>
      <c r="J81" s="19"/>
      <c r="K81" s="20"/>
      <c r="L81" s="20"/>
    </row>
    <row r="82" spans="7:12" x14ac:dyDescent="0.25">
      <c r="G82" s="17" t="s">
        <v>43</v>
      </c>
      <c r="H82" s="18" t="s">
        <v>23</v>
      </c>
      <c r="I82" s="19">
        <v>26</v>
      </c>
      <c r="J82" s="19"/>
      <c r="K82" s="20"/>
      <c r="L82" s="20"/>
    </row>
    <row r="83" spans="7:12" x14ac:dyDescent="0.25">
      <c r="G83" s="17" t="s">
        <v>43</v>
      </c>
      <c r="H83" s="18" t="s">
        <v>24</v>
      </c>
      <c r="I83" s="19">
        <v>26</v>
      </c>
      <c r="J83" s="19"/>
      <c r="K83" s="20"/>
      <c r="L83" s="20"/>
    </row>
    <row r="84" spans="7:12" x14ac:dyDescent="0.25">
      <c r="G84" s="17" t="s">
        <v>43</v>
      </c>
      <c r="H84" s="18" t="s">
        <v>25</v>
      </c>
      <c r="I84" s="19">
        <v>26</v>
      </c>
      <c r="J84" s="19"/>
      <c r="K84" s="20"/>
      <c r="L84" s="20"/>
    </row>
    <row r="85" spans="7:12" x14ac:dyDescent="0.25">
      <c r="G85" s="17" t="s">
        <v>43</v>
      </c>
      <c r="H85" s="18" t="s">
        <v>26</v>
      </c>
      <c r="I85" s="19">
        <v>26</v>
      </c>
      <c r="J85" s="19"/>
      <c r="K85" s="20"/>
      <c r="L85" s="20"/>
    </row>
    <row r="86" spans="7:12" x14ac:dyDescent="0.25">
      <c r="G86" s="17" t="s">
        <v>43</v>
      </c>
      <c r="H86" s="18" t="s">
        <v>27</v>
      </c>
      <c r="I86" s="19">
        <v>26</v>
      </c>
      <c r="J86" s="19"/>
      <c r="K86" s="20"/>
      <c r="L86" s="20"/>
    </row>
    <row r="87" spans="7:12" x14ac:dyDescent="0.25">
      <c r="G87" s="21" t="s">
        <v>44</v>
      </c>
      <c r="H87" s="22" t="s">
        <v>18</v>
      </c>
      <c r="I87" s="23">
        <v>26</v>
      </c>
      <c r="J87" s="23"/>
      <c r="K87" s="24"/>
      <c r="L87" s="24"/>
    </row>
    <row r="88" spans="7:12" x14ac:dyDescent="0.25">
      <c r="G88" s="17" t="s">
        <v>44</v>
      </c>
      <c r="H88" s="18" t="s">
        <v>19</v>
      </c>
      <c r="I88" s="19">
        <v>26</v>
      </c>
      <c r="J88" s="19"/>
      <c r="K88" s="20"/>
      <c r="L88" s="20"/>
    </row>
    <row r="89" spans="7:12" x14ac:dyDescent="0.25">
      <c r="G89" s="17" t="s">
        <v>44</v>
      </c>
      <c r="H89" s="18" t="s">
        <v>20</v>
      </c>
      <c r="I89" s="19">
        <v>26</v>
      </c>
      <c r="J89" s="19"/>
      <c r="K89" s="20"/>
      <c r="L89" s="20"/>
    </row>
    <row r="90" spans="7:12" x14ac:dyDescent="0.25">
      <c r="G90" s="17" t="s">
        <v>44</v>
      </c>
      <c r="H90" s="18" t="s">
        <v>21</v>
      </c>
      <c r="I90" s="19">
        <v>26</v>
      </c>
      <c r="J90" s="19"/>
      <c r="K90" s="20"/>
      <c r="L90" s="20"/>
    </row>
    <row r="91" spans="7:12" x14ac:dyDescent="0.25">
      <c r="G91" s="17" t="s">
        <v>44</v>
      </c>
      <c r="H91" s="18" t="s">
        <v>22</v>
      </c>
      <c r="I91" s="19">
        <v>26</v>
      </c>
      <c r="J91" s="19"/>
      <c r="K91" s="20"/>
      <c r="L91" s="20"/>
    </row>
    <row r="92" spans="7:12" x14ac:dyDescent="0.25">
      <c r="G92" s="17" t="s">
        <v>44</v>
      </c>
      <c r="H92" s="18" t="s">
        <v>23</v>
      </c>
      <c r="I92" s="19">
        <v>26</v>
      </c>
      <c r="J92" s="19"/>
      <c r="K92" s="20"/>
      <c r="L92" s="20"/>
    </row>
    <row r="93" spans="7:12" x14ac:dyDescent="0.25">
      <c r="G93" s="17" t="s">
        <v>44</v>
      </c>
      <c r="H93" s="18" t="s">
        <v>24</v>
      </c>
      <c r="I93" s="19">
        <v>26</v>
      </c>
      <c r="J93" s="19"/>
      <c r="K93" s="20"/>
      <c r="L93" s="20"/>
    </row>
    <row r="94" spans="7:12" x14ac:dyDescent="0.25">
      <c r="G94" s="17" t="s">
        <v>44</v>
      </c>
      <c r="H94" s="18" t="s">
        <v>25</v>
      </c>
      <c r="I94" s="19">
        <v>26</v>
      </c>
      <c r="J94" s="19"/>
      <c r="K94" s="20"/>
      <c r="L94" s="20"/>
    </row>
    <row r="95" spans="7:12" x14ac:dyDescent="0.25">
      <c r="G95" s="17" t="s">
        <v>44</v>
      </c>
      <c r="H95" s="18" t="s">
        <v>26</v>
      </c>
      <c r="I95" s="19">
        <v>26</v>
      </c>
      <c r="J95" s="19"/>
      <c r="K95" s="20"/>
      <c r="L95" s="20"/>
    </row>
    <row r="96" spans="7:12" x14ac:dyDescent="0.25">
      <c r="G96" s="17" t="s">
        <v>44</v>
      </c>
      <c r="H96" s="18" t="s">
        <v>27</v>
      </c>
      <c r="I96" s="19">
        <v>26</v>
      </c>
      <c r="J96" s="19"/>
      <c r="K96" s="20"/>
      <c r="L96" s="20"/>
    </row>
    <row r="97" spans="7:12" x14ac:dyDescent="0.25">
      <c r="G97" s="21" t="s">
        <v>45</v>
      </c>
      <c r="H97" s="22" t="s">
        <v>18</v>
      </c>
      <c r="I97" s="23">
        <v>26</v>
      </c>
      <c r="J97" s="23"/>
      <c r="K97" s="24"/>
      <c r="L97" s="24"/>
    </row>
    <row r="98" spans="7:12" x14ac:dyDescent="0.25">
      <c r="G98" s="17" t="s">
        <v>45</v>
      </c>
      <c r="H98" s="18" t="s">
        <v>19</v>
      </c>
      <c r="I98" s="19">
        <v>26</v>
      </c>
      <c r="J98" s="19"/>
      <c r="K98" s="20"/>
      <c r="L98" s="20"/>
    </row>
    <row r="99" spans="7:12" x14ac:dyDescent="0.25">
      <c r="G99" s="17" t="s">
        <v>45</v>
      </c>
      <c r="H99" s="18" t="s">
        <v>20</v>
      </c>
      <c r="I99" s="19">
        <v>26</v>
      </c>
      <c r="J99" s="19"/>
      <c r="K99" s="20"/>
      <c r="L99" s="20"/>
    </row>
    <row r="100" spans="7:12" x14ac:dyDescent="0.25">
      <c r="G100" s="17" t="s">
        <v>45</v>
      </c>
      <c r="H100" s="18" t="s">
        <v>21</v>
      </c>
      <c r="I100" s="19">
        <v>26</v>
      </c>
      <c r="J100" s="19"/>
      <c r="K100" s="20"/>
      <c r="L100" s="20"/>
    </row>
    <row r="101" spans="7:12" x14ac:dyDescent="0.25">
      <c r="G101" s="17" t="s">
        <v>45</v>
      </c>
      <c r="H101" s="18" t="s">
        <v>22</v>
      </c>
      <c r="I101" s="19">
        <v>26</v>
      </c>
      <c r="J101" s="19"/>
      <c r="K101" s="20"/>
      <c r="L101" s="20"/>
    </row>
    <row r="102" spans="7:12" x14ac:dyDescent="0.25">
      <c r="G102" s="17" t="s">
        <v>45</v>
      </c>
      <c r="H102" s="18" t="s">
        <v>23</v>
      </c>
      <c r="I102" s="19">
        <v>26</v>
      </c>
      <c r="J102" s="19"/>
      <c r="K102" s="20"/>
      <c r="L102" s="20"/>
    </row>
    <row r="103" spans="7:12" x14ac:dyDescent="0.25">
      <c r="G103" s="17" t="s">
        <v>45</v>
      </c>
      <c r="H103" s="18" t="s">
        <v>24</v>
      </c>
      <c r="I103" s="19">
        <v>26</v>
      </c>
      <c r="J103" s="19"/>
      <c r="K103" s="20"/>
      <c r="L103" s="20"/>
    </row>
    <row r="104" spans="7:12" x14ac:dyDescent="0.25">
      <c r="G104" s="17" t="s">
        <v>45</v>
      </c>
      <c r="H104" s="18" t="s">
        <v>25</v>
      </c>
      <c r="I104" s="19">
        <v>26</v>
      </c>
      <c r="J104" s="19"/>
      <c r="K104" s="20"/>
      <c r="L104" s="20"/>
    </row>
    <row r="105" spans="7:12" x14ac:dyDescent="0.25">
      <c r="G105" s="17" t="s">
        <v>45</v>
      </c>
      <c r="H105" s="18" t="s">
        <v>26</v>
      </c>
      <c r="I105" s="19">
        <v>26</v>
      </c>
      <c r="J105" s="19"/>
      <c r="K105" s="20"/>
      <c r="L105" s="20"/>
    </row>
    <row r="106" spans="7:12" x14ac:dyDescent="0.25">
      <c r="G106" s="17" t="s">
        <v>45</v>
      </c>
      <c r="H106" s="18" t="s">
        <v>27</v>
      </c>
      <c r="I106" s="19">
        <v>26</v>
      </c>
      <c r="J106" s="19"/>
      <c r="K106" s="20"/>
      <c r="L106" s="20"/>
    </row>
    <row r="107" spans="7:12" x14ac:dyDescent="0.25">
      <c r="G107" s="21" t="s">
        <v>46</v>
      </c>
      <c r="H107" s="22" t="s">
        <v>18</v>
      </c>
      <c r="I107" s="23">
        <v>26</v>
      </c>
      <c r="J107" s="23"/>
      <c r="K107" s="24"/>
      <c r="L107" s="24"/>
    </row>
    <row r="108" spans="7:12" x14ac:dyDescent="0.25">
      <c r="G108" s="17" t="s">
        <v>46</v>
      </c>
      <c r="H108" s="18" t="s">
        <v>19</v>
      </c>
      <c r="I108" s="19">
        <v>26</v>
      </c>
      <c r="J108" s="19"/>
      <c r="K108" s="20"/>
      <c r="L108" s="20"/>
    </row>
    <row r="109" spans="7:12" x14ac:dyDescent="0.25">
      <c r="G109" s="17" t="s">
        <v>46</v>
      </c>
      <c r="H109" s="18" t="s">
        <v>20</v>
      </c>
      <c r="I109" s="19">
        <v>26</v>
      </c>
      <c r="J109" s="19"/>
      <c r="K109" s="20"/>
      <c r="L109" s="20"/>
    </row>
    <row r="110" spans="7:12" x14ac:dyDescent="0.25">
      <c r="G110" s="17" t="s">
        <v>46</v>
      </c>
      <c r="H110" s="18" t="s">
        <v>21</v>
      </c>
      <c r="I110" s="19">
        <v>26</v>
      </c>
      <c r="J110" s="19"/>
      <c r="K110" s="20"/>
      <c r="L110" s="20"/>
    </row>
    <row r="111" spans="7:12" x14ac:dyDescent="0.25">
      <c r="G111" s="17" t="s">
        <v>46</v>
      </c>
      <c r="H111" s="18" t="s">
        <v>22</v>
      </c>
      <c r="I111" s="19">
        <v>26</v>
      </c>
      <c r="J111" s="19"/>
      <c r="K111" s="20"/>
      <c r="L111" s="20"/>
    </row>
    <row r="112" spans="7:12" x14ac:dyDescent="0.25">
      <c r="G112" s="17" t="s">
        <v>46</v>
      </c>
      <c r="H112" s="18" t="s">
        <v>23</v>
      </c>
      <c r="I112" s="19">
        <v>26</v>
      </c>
      <c r="J112" s="19"/>
      <c r="K112" s="20"/>
      <c r="L112" s="20"/>
    </row>
    <row r="113" spans="7:12" x14ac:dyDescent="0.25">
      <c r="G113" s="17" t="s">
        <v>46</v>
      </c>
      <c r="H113" s="18" t="s">
        <v>24</v>
      </c>
      <c r="I113" s="19">
        <v>26</v>
      </c>
      <c r="J113" s="19"/>
      <c r="K113" s="20"/>
      <c r="L113" s="20"/>
    </row>
    <row r="114" spans="7:12" x14ac:dyDescent="0.25">
      <c r="G114" s="17" t="s">
        <v>46</v>
      </c>
      <c r="H114" s="18" t="s">
        <v>25</v>
      </c>
      <c r="I114" s="19">
        <v>26</v>
      </c>
      <c r="J114" s="19"/>
      <c r="K114" s="20"/>
      <c r="L114" s="20"/>
    </row>
    <row r="115" spans="7:12" x14ac:dyDescent="0.25">
      <c r="G115" s="17" t="s">
        <v>46</v>
      </c>
      <c r="H115" s="18" t="s">
        <v>26</v>
      </c>
      <c r="I115" s="19">
        <v>26</v>
      </c>
      <c r="J115" s="19"/>
      <c r="K115" s="20"/>
      <c r="L115" s="20"/>
    </row>
    <row r="116" spans="7:12" x14ac:dyDescent="0.25">
      <c r="G116" s="17" t="s">
        <v>46</v>
      </c>
      <c r="H116" s="18" t="s">
        <v>27</v>
      </c>
      <c r="I116" s="19">
        <v>26</v>
      </c>
      <c r="J116" s="19"/>
      <c r="K116" s="20"/>
      <c r="L116" s="20"/>
    </row>
    <row r="117" spans="7:12" x14ac:dyDescent="0.25">
      <c r="G117" s="21" t="s">
        <v>47</v>
      </c>
      <c r="H117" s="22" t="s">
        <v>18</v>
      </c>
      <c r="I117" s="23">
        <v>26</v>
      </c>
      <c r="J117" s="23"/>
      <c r="K117" s="24"/>
      <c r="L117" s="24"/>
    </row>
    <row r="118" spans="7:12" x14ac:dyDescent="0.25">
      <c r="G118" s="17" t="s">
        <v>47</v>
      </c>
      <c r="H118" s="18" t="s">
        <v>19</v>
      </c>
      <c r="I118" s="19">
        <v>26</v>
      </c>
      <c r="J118" s="19"/>
      <c r="K118" s="20"/>
      <c r="L118" s="20"/>
    </row>
    <row r="119" spans="7:12" x14ac:dyDescent="0.25">
      <c r="G119" s="17" t="s">
        <v>47</v>
      </c>
      <c r="H119" s="18" t="s">
        <v>20</v>
      </c>
      <c r="I119" s="19">
        <v>26</v>
      </c>
      <c r="J119" s="19"/>
      <c r="K119" s="20"/>
      <c r="L119" s="20"/>
    </row>
    <row r="120" spans="7:12" x14ac:dyDescent="0.25">
      <c r="G120" s="17" t="s">
        <v>47</v>
      </c>
      <c r="H120" s="18" t="s">
        <v>21</v>
      </c>
      <c r="I120" s="19">
        <v>26</v>
      </c>
      <c r="J120" s="19"/>
      <c r="K120" s="20"/>
      <c r="L120" s="20"/>
    </row>
    <row r="121" spans="7:12" x14ac:dyDescent="0.25">
      <c r="G121" s="17" t="s">
        <v>47</v>
      </c>
      <c r="H121" s="18" t="s">
        <v>22</v>
      </c>
      <c r="I121" s="19">
        <v>26</v>
      </c>
      <c r="J121" s="19"/>
      <c r="K121" s="20"/>
      <c r="L121" s="20"/>
    </row>
    <row r="122" spans="7:12" x14ac:dyDescent="0.25">
      <c r="G122" s="17" t="s">
        <v>47</v>
      </c>
      <c r="H122" s="18" t="s">
        <v>23</v>
      </c>
      <c r="I122" s="19">
        <v>26</v>
      </c>
      <c r="J122" s="19"/>
      <c r="K122" s="20"/>
      <c r="L122" s="20"/>
    </row>
    <row r="123" spans="7:12" x14ac:dyDescent="0.25">
      <c r="G123" s="17" t="s">
        <v>47</v>
      </c>
      <c r="H123" s="18" t="s">
        <v>24</v>
      </c>
      <c r="I123" s="19">
        <v>26</v>
      </c>
      <c r="J123" s="19"/>
      <c r="K123" s="20"/>
      <c r="L123" s="20"/>
    </row>
    <row r="124" spans="7:12" x14ac:dyDescent="0.25">
      <c r="G124" s="17" t="s">
        <v>47</v>
      </c>
      <c r="H124" s="18" t="s">
        <v>25</v>
      </c>
      <c r="I124" s="19">
        <v>26</v>
      </c>
      <c r="J124" s="19"/>
      <c r="K124" s="20"/>
      <c r="L124" s="20"/>
    </row>
    <row r="125" spans="7:12" x14ac:dyDescent="0.25">
      <c r="G125" s="17" t="s">
        <v>47</v>
      </c>
      <c r="H125" s="18" t="s">
        <v>26</v>
      </c>
      <c r="I125" s="19">
        <v>26</v>
      </c>
      <c r="J125" s="19"/>
      <c r="K125" s="20"/>
      <c r="L125" s="20"/>
    </row>
    <row r="126" spans="7:12" x14ac:dyDescent="0.25">
      <c r="G126" s="17" t="s">
        <v>47</v>
      </c>
      <c r="H126" s="18" t="s">
        <v>27</v>
      </c>
      <c r="I126" s="19">
        <v>26</v>
      </c>
      <c r="J126" s="19"/>
      <c r="K126" s="20"/>
      <c r="L126" s="20"/>
    </row>
    <row r="128" spans="7:12" x14ac:dyDescent="0.25">
      <c r="G128" s="4" t="s">
        <v>48</v>
      </c>
    </row>
  </sheetData>
  <autoFilter ref="G6:L126" xr:uid="{00000000-0009-0000-0000-000001000000}"/>
  <mergeCells count="3">
    <mergeCell ref="G1:L1"/>
    <mergeCell ref="G2:L2"/>
    <mergeCell ref="G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R43"/>
  <sheetViews>
    <sheetView showGridLines="0" zoomScaleNormal="100" workbookViewId="0">
      <selection activeCell="H10" sqref="H10"/>
    </sheetView>
  </sheetViews>
  <sheetFormatPr defaultColWidth="8.7109375" defaultRowHeight="15" x14ac:dyDescent="0.25"/>
  <cols>
    <col min="5" max="5" width="22" style="5" customWidth="1"/>
    <col min="6" max="10" width="13.5703125" style="5" bestFit="1" customWidth="1"/>
    <col min="11" max="17" width="12" style="5" customWidth="1"/>
    <col min="18" max="18" width="13.5703125" style="5" bestFit="1" customWidth="1"/>
  </cols>
  <sheetData>
    <row r="1" spans="5:18" ht="24" customHeight="1" x14ac:dyDescent="0.3">
      <c r="E1" s="25" t="s">
        <v>49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3" spans="5:18" ht="26.25" customHeight="1" x14ac:dyDescent="0.25">
      <c r="E3" s="38" t="s">
        <v>50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5:18" x14ac:dyDescent="0.25">
      <c r="E4" s="29" t="s">
        <v>7</v>
      </c>
      <c r="F4" s="30" t="s">
        <v>51</v>
      </c>
      <c r="G4" s="30" t="s">
        <v>52</v>
      </c>
      <c r="H4" s="30" t="s">
        <v>53</v>
      </c>
      <c r="I4" s="30" t="s">
        <v>54</v>
      </c>
      <c r="J4" s="30" t="s">
        <v>55</v>
      </c>
      <c r="K4" s="30" t="s">
        <v>56</v>
      </c>
      <c r="L4" s="30" t="s">
        <v>57</v>
      </c>
      <c r="M4" s="30" t="s">
        <v>58</v>
      </c>
      <c r="N4" s="30" t="s">
        <v>59</v>
      </c>
      <c r="O4" s="30" t="s">
        <v>60</v>
      </c>
      <c r="P4" s="30" t="s">
        <v>61</v>
      </c>
      <c r="Q4" s="30" t="s">
        <v>62</v>
      </c>
      <c r="R4" s="30" t="s">
        <v>63</v>
      </c>
    </row>
    <row r="5" spans="5:18" x14ac:dyDescent="0.25">
      <c r="E5" s="18" t="s">
        <v>18</v>
      </c>
      <c r="F5" s="31">
        <f>SUMIFS(BASE!$K$7:$K$126,BASE!$G$7:$G$126,"JANEIRO",BASE!$H$7:$H$126,$E5)</f>
        <v>104672</v>
      </c>
      <c r="G5" s="31">
        <f>SUMIFS(BASE!$K$7:$K$126,BASE!$G$7:$G$126,"FEVEREIRO",BASE!$H$7:$H$126,$E5)</f>
        <v>123284</v>
      </c>
      <c r="H5" s="31">
        <f>SUMIFS(BASE!$K$7:$K$126,BASE!$G$7:$G$126,"MARÇO",BASE!$H$7:$H$126,$E5)</f>
        <v>150000</v>
      </c>
      <c r="I5" s="31">
        <f>SUMIFS(BASE!$K$7:$K$126,BASE!$G$7:$G$126,"ABRIL",BASE!$H$7:$H$126,$E5)</f>
        <v>150000</v>
      </c>
      <c r="J5" s="31">
        <f>SUMIFS(BASE!$K$7:$K$126,BASE!$G$7:$G$126,"MAIO",BASE!$H$7:$H$126,$E5)</f>
        <v>233744</v>
      </c>
      <c r="K5" s="31">
        <f>SUMIFS(BASE!$K$7:$K$126,BASE!$G$7:$G$126,"JUNHO",BASE!$H$7:$H$126,$E5)</f>
        <v>0</v>
      </c>
      <c r="L5" s="31">
        <f>SUMIFS(BASE!$K$7:$K$126,BASE!$G$7:$G$126,"JULHO",BASE!$H$7:$H$126,$E5)</f>
        <v>0</v>
      </c>
      <c r="M5" s="31">
        <f>SUMIFS(BASE!$K$7:$K$126,BASE!$G$7:$G$126,"AGOSTO",BASE!$H$7:$H$126,$E5)</f>
        <v>0</v>
      </c>
      <c r="N5" s="31">
        <f>SUMIFS(BASE!$K$7:$K$126,BASE!$G$7:$G$126,"SETEMBRO",BASE!$H$7:$H$126,$E5)</f>
        <v>0</v>
      </c>
      <c r="O5" s="31">
        <f>SUMIFS(BASE!$K$7:$K$126,BASE!$G$7:$G$126,"OUTUBRO",BASE!$H$7:$H$126,$E5)</f>
        <v>0</v>
      </c>
      <c r="P5" s="31">
        <f>SUMIFS(BASE!$K$7:$K$126,BASE!$G$7:$G$126,"NOVEMBRO",BASE!$H$7:$H$126,$E5)</f>
        <v>0</v>
      </c>
      <c r="Q5" s="31">
        <f>SUMIFS(BASE!$K$7:$K$126,BASE!$G$7:$G$126,"DEZEMBRO",BASE!$H$7:$H$126,$E5)</f>
        <v>0</v>
      </c>
      <c r="R5" s="32">
        <f t="shared" ref="R5:R14" si="0">SUM(F5:Q5)</f>
        <v>761700</v>
      </c>
    </row>
    <row r="6" spans="5:18" x14ac:dyDescent="0.25">
      <c r="E6" s="18" t="s">
        <v>19</v>
      </c>
      <c r="F6" s="31">
        <f>SUMIFS(BASE!$K$7:$K$126,BASE!$G$7:$G$126,"JANEIRO",BASE!$H$7:$H$126,$E6)</f>
        <v>0</v>
      </c>
      <c r="G6" s="31">
        <f>SUMIFS(BASE!$K$7:$K$126,BASE!$G$7:$G$126,"FEVEREIRO",BASE!$H$7:$H$126,$E6)</f>
        <v>0</v>
      </c>
      <c r="H6" s="31">
        <f>SUMIFS(BASE!$K$7:$K$126,BASE!$G$7:$G$126,"MARÇO",BASE!$H$7:$H$126,$E6)</f>
        <v>0</v>
      </c>
      <c r="I6" s="31">
        <f>SUMIFS(BASE!$K$7:$K$126,BASE!$G$7:$G$126,"ABRIL",BASE!$H$7:$H$126,$E6)</f>
        <v>0</v>
      </c>
      <c r="J6" s="31">
        <f>SUMIFS(BASE!$K$7:$K$126,BASE!$G$7:$G$126,"MAIO",BASE!$H$7:$H$126,$E6)</f>
        <v>0</v>
      </c>
      <c r="K6" s="31">
        <f>SUMIFS(BASE!$K$7:$K$126,BASE!$G$7:$G$126,"JUNHO",BASE!$H$7:$H$126,$E6)</f>
        <v>0</v>
      </c>
      <c r="L6" s="31">
        <f>SUMIFS(BASE!$K$7:$K$126,BASE!$G$7:$G$126,"JULHO",BASE!$H$7:$H$126,$E6)</f>
        <v>0</v>
      </c>
      <c r="M6" s="31">
        <f>SUMIFS(BASE!$K$7:$K$126,BASE!$G$7:$G$126,"AGOSTO",BASE!$H$7:$H$126,$E6)</f>
        <v>0</v>
      </c>
      <c r="N6" s="31">
        <f>SUMIFS(BASE!$K$7:$K$126,BASE!$G$7:$G$126,"SETEMBRO",BASE!$H$7:$H$126,$E6)</f>
        <v>0</v>
      </c>
      <c r="O6" s="31">
        <f>SUMIFS(BASE!$K$7:$K$126,BASE!$G$7:$G$126,"OUTUBRO",BASE!$H$7:$H$126,$E6)</f>
        <v>0</v>
      </c>
      <c r="P6" s="31">
        <f>SUMIFS(BASE!$K$7:$K$126,BASE!$G$7:$G$126,"NOVEMBRO",BASE!$H$7:$H$126,$E6)</f>
        <v>0</v>
      </c>
      <c r="Q6" s="31">
        <f>SUMIFS(BASE!$K$7:$K$126,BASE!$G$7:$G$126,"DEZEMBRO",BASE!$H$7:$H$126,$E6)</f>
        <v>0</v>
      </c>
      <c r="R6" s="32">
        <f t="shared" si="0"/>
        <v>0</v>
      </c>
    </row>
    <row r="7" spans="5:18" x14ac:dyDescent="0.25">
      <c r="E7" s="18" t="s">
        <v>20</v>
      </c>
      <c r="F7" s="31">
        <f>SUMIFS(BASE!$K$7:$K$126,BASE!$G$7:$G$126,"JANEIRO",BASE!$H$7:$H$126,$E7)</f>
        <v>120000</v>
      </c>
      <c r="G7" s="31">
        <f>SUMIFS(BASE!$K$7:$K$126,BASE!$G$7:$G$126,"FEVEREIRO",BASE!$H$7:$H$126,$E7)</f>
        <v>120000</v>
      </c>
      <c r="H7" s="31">
        <f>SUMIFS(BASE!$K$7:$K$126,BASE!$G$7:$G$126,"MARÇO",BASE!$H$7:$H$126,$E7)</f>
        <v>130000</v>
      </c>
      <c r="I7" s="31">
        <f>SUMIFS(BASE!$K$7:$K$126,BASE!$G$7:$G$126,"ABRIL",BASE!$H$7:$H$126,$E7)</f>
        <v>124012</v>
      </c>
      <c r="J7" s="31">
        <f>SUMIFS(BASE!$K$7:$K$126,BASE!$G$7:$G$126,"MAIO",BASE!$H$7:$H$126,$E7)</f>
        <v>167300</v>
      </c>
      <c r="K7" s="31">
        <f>SUMIFS(BASE!$K$7:$K$126,BASE!$G$7:$G$126,"JUNHO",BASE!$H$7:$H$126,$E7)</f>
        <v>0</v>
      </c>
      <c r="L7" s="31">
        <f>SUMIFS(BASE!$K$7:$K$126,BASE!$G$7:$G$126,"JULHO",BASE!$H$7:$H$126,$E7)</f>
        <v>0</v>
      </c>
      <c r="M7" s="31">
        <f>SUMIFS(BASE!$K$7:$K$126,BASE!$G$7:$G$126,"AGOSTO",BASE!$H$7:$H$126,$E7)</f>
        <v>0</v>
      </c>
      <c r="N7" s="31">
        <f>SUMIFS(BASE!$K$7:$K$126,BASE!$G$7:$G$126,"SETEMBRO",BASE!$H$7:$H$126,$E7)</f>
        <v>0</v>
      </c>
      <c r="O7" s="31">
        <f>SUMIFS(BASE!$K$7:$K$126,BASE!$G$7:$G$126,"OUTUBRO",BASE!$H$7:$H$126,$E7)</f>
        <v>0</v>
      </c>
      <c r="P7" s="31">
        <f>SUMIFS(BASE!$K$7:$K$126,BASE!$G$7:$G$126,"NOVEMBRO",BASE!$H$7:$H$126,$E7)</f>
        <v>0</v>
      </c>
      <c r="Q7" s="31">
        <f>SUMIFS(BASE!$K$7:$K$126,BASE!$G$7:$G$126,"DEZEMBRO",BASE!$H$7:$H$126,$E7)</f>
        <v>0</v>
      </c>
      <c r="R7" s="32">
        <f t="shared" si="0"/>
        <v>661312</v>
      </c>
    </row>
    <row r="8" spans="5:18" x14ac:dyDescent="0.25">
      <c r="E8" s="18" t="s">
        <v>21</v>
      </c>
      <c r="F8" s="31">
        <f>SUMIFS(BASE!$K$7:$K$126,BASE!$G$7:$G$126,"JANEIRO",BASE!$H$7:$H$126,$E8)</f>
        <v>101199</v>
      </c>
      <c r="G8" s="31">
        <f>SUMIFS(BASE!$K$7:$K$126,BASE!$G$7:$G$126,"FEVEREIRO",BASE!$H$7:$H$126,$E8)</f>
        <v>110000</v>
      </c>
      <c r="H8" s="31">
        <f>SUMIFS(BASE!$K$7:$K$126,BASE!$G$7:$G$126,"MARÇO",BASE!$H$7:$H$126,$E8)</f>
        <v>103829</v>
      </c>
      <c r="I8" s="31">
        <f>SUMIFS(BASE!$K$7:$K$126,BASE!$G$7:$G$126,"ABRIL",BASE!$H$7:$H$126,$E8)</f>
        <v>120000</v>
      </c>
      <c r="J8" s="31">
        <f>SUMIFS(BASE!$K$7:$K$126,BASE!$G$7:$G$126,"MAIO",BASE!$H$7:$H$126,$E8)</f>
        <v>169598</v>
      </c>
      <c r="K8" s="31">
        <f>SUMIFS(BASE!$K$7:$K$126,BASE!$G$7:$G$126,"JUNHO",BASE!$H$7:$H$126,$E8)</f>
        <v>0</v>
      </c>
      <c r="L8" s="31">
        <f>SUMIFS(BASE!$K$7:$K$126,BASE!$G$7:$G$126,"JULHO",BASE!$H$7:$H$126,$E8)</f>
        <v>0</v>
      </c>
      <c r="M8" s="31">
        <f>SUMIFS(BASE!$K$7:$K$126,BASE!$G$7:$G$126,"AGOSTO",BASE!$H$7:$H$126,$E8)</f>
        <v>0</v>
      </c>
      <c r="N8" s="31">
        <f>SUMIFS(BASE!$K$7:$K$126,BASE!$G$7:$G$126,"SETEMBRO",BASE!$H$7:$H$126,$E8)</f>
        <v>0</v>
      </c>
      <c r="O8" s="31">
        <f>SUMIFS(BASE!$K$7:$K$126,BASE!$G$7:$G$126,"OUTUBRO",BASE!$H$7:$H$126,$E8)</f>
        <v>0</v>
      </c>
      <c r="P8" s="31">
        <f>SUMIFS(BASE!$K$7:$K$126,BASE!$G$7:$G$126,"NOVEMBRO",BASE!$H$7:$H$126,$E8)</f>
        <v>0</v>
      </c>
      <c r="Q8" s="31">
        <f>SUMIFS(BASE!$K$7:$K$126,BASE!$G$7:$G$126,"DEZEMBRO",BASE!$H$7:$H$126,$E8)</f>
        <v>0</v>
      </c>
      <c r="R8" s="32">
        <f t="shared" si="0"/>
        <v>604626</v>
      </c>
    </row>
    <row r="9" spans="5:18" x14ac:dyDescent="0.25">
      <c r="E9" s="18" t="s">
        <v>22</v>
      </c>
      <c r="F9" s="31">
        <f>SUMIFS(BASE!$K$7:$K$126,BASE!$G$7:$G$126,"JANEIRO",BASE!$H$7:$H$126,$E9)</f>
        <v>205272</v>
      </c>
      <c r="G9" s="31">
        <f>SUMIFS(BASE!$K$7:$K$126,BASE!$G$7:$G$126,"FEVEREIRO",BASE!$H$7:$H$126,$E9)</f>
        <v>158000</v>
      </c>
      <c r="H9" s="31">
        <f>SUMIFS(BASE!$K$7:$K$126,BASE!$G$7:$G$126,"MARÇO",BASE!$H$7:$H$126,$E9)</f>
        <v>155000</v>
      </c>
      <c r="I9" s="31">
        <f>SUMIFS(BASE!$K$7:$K$126,BASE!$G$7:$G$126,"ABRIL",BASE!$H$7:$H$126,$E9)</f>
        <v>180000</v>
      </c>
      <c r="J9" s="31">
        <f>SUMIFS(BASE!$K$7:$K$126,BASE!$G$7:$G$126,"MAIO",BASE!$H$7:$H$126,$E9)</f>
        <v>220000</v>
      </c>
      <c r="K9" s="31">
        <f>SUMIFS(BASE!$K$7:$K$126,BASE!$G$7:$G$126,"JUNHO",BASE!$H$7:$H$126,$E9)</f>
        <v>0</v>
      </c>
      <c r="L9" s="31">
        <f>SUMIFS(BASE!$K$7:$K$126,BASE!$G$7:$G$126,"JULHO",BASE!$H$7:$H$126,$E9)</f>
        <v>0</v>
      </c>
      <c r="M9" s="31">
        <f>SUMIFS(BASE!$K$7:$K$126,BASE!$G$7:$G$126,"AGOSTO",BASE!$H$7:$H$126,$E9)</f>
        <v>0</v>
      </c>
      <c r="N9" s="31">
        <f>SUMIFS(BASE!$K$7:$K$126,BASE!$G$7:$G$126,"SETEMBRO",BASE!$H$7:$H$126,$E9)</f>
        <v>0</v>
      </c>
      <c r="O9" s="31">
        <f>SUMIFS(BASE!$K$7:$K$126,BASE!$G$7:$G$126,"OUTUBRO",BASE!$H$7:$H$126,$E9)</f>
        <v>0</v>
      </c>
      <c r="P9" s="31">
        <f>SUMIFS(BASE!$K$7:$K$126,BASE!$G$7:$G$126,"NOVEMBRO",BASE!$H$7:$H$126,$E9)</f>
        <v>0</v>
      </c>
      <c r="Q9" s="31">
        <f>SUMIFS(BASE!$K$7:$K$126,BASE!$G$7:$G$126,"DEZEMBRO",BASE!$H$7:$H$126,$E9)</f>
        <v>0</v>
      </c>
      <c r="R9" s="32">
        <f t="shared" si="0"/>
        <v>918272</v>
      </c>
    </row>
    <row r="10" spans="5:18" x14ac:dyDescent="0.25">
      <c r="E10" s="18" t="s">
        <v>23</v>
      </c>
      <c r="F10" s="31">
        <f>SUMIFS(BASE!$K$7:$K$126,BASE!$G$7:$G$126,"JANEIRO",BASE!$H$7:$H$126,$E10)</f>
        <v>110000</v>
      </c>
      <c r="G10" s="31">
        <f>SUMIFS(BASE!$K$7:$K$126,BASE!$G$7:$G$126,"FEVEREIRO",BASE!$H$7:$H$126,$E10)</f>
        <v>105000</v>
      </c>
      <c r="H10" s="31">
        <f>SUMIFS(BASE!$K$7:$K$126,BASE!$G$7:$G$126,"MARÇO",BASE!$H$7:$H$126,$E10)</f>
        <v>91449</v>
      </c>
      <c r="I10" s="31">
        <f>SUMIFS(BASE!$K$7:$K$126,BASE!$G$7:$G$126,"ABRIL",BASE!$H$7:$H$126,$E10)</f>
        <v>115000</v>
      </c>
      <c r="J10" s="31">
        <f>SUMIFS(BASE!$K$7:$K$126,BASE!$G$7:$G$126,"MAIO",BASE!$H$7:$H$126,$E10)</f>
        <v>152846</v>
      </c>
      <c r="K10" s="31">
        <f>SUMIFS(BASE!$K$7:$K$126,BASE!$G$7:$G$126,"JUNHO",BASE!$H$7:$H$126,$E10)</f>
        <v>0</v>
      </c>
      <c r="L10" s="31">
        <f>SUMIFS(BASE!$K$7:$K$126,BASE!$G$7:$G$126,"JULHO",BASE!$H$7:$H$126,$E10)</f>
        <v>0</v>
      </c>
      <c r="M10" s="31">
        <f>SUMIFS(BASE!$K$7:$K$126,BASE!$G$7:$G$126,"AGOSTO",BASE!$H$7:$H$126,$E10)</f>
        <v>0</v>
      </c>
      <c r="N10" s="31">
        <f>SUMIFS(BASE!$K$7:$K$126,BASE!$G$7:$G$126,"SETEMBRO",BASE!$H$7:$H$126,$E10)</f>
        <v>0</v>
      </c>
      <c r="O10" s="31">
        <f>SUMIFS(BASE!$K$7:$K$126,BASE!$G$7:$G$126,"OUTUBRO",BASE!$H$7:$H$126,$E10)</f>
        <v>0</v>
      </c>
      <c r="P10" s="31">
        <f>SUMIFS(BASE!$K$7:$K$126,BASE!$G$7:$G$126,"NOVEMBRO",BASE!$H$7:$H$126,$E10)</f>
        <v>0</v>
      </c>
      <c r="Q10" s="31">
        <f>SUMIFS(BASE!$K$7:$K$126,BASE!$G$7:$G$126,"DEZEMBRO",BASE!$H$7:$H$126,$E10)</f>
        <v>0</v>
      </c>
      <c r="R10" s="32">
        <f t="shared" si="0"/>
        <v>574295</v>
      </c>
    </row>
    <row r="11" spans="5:18" x14ac:dyDescent="0.25">
      <c r="E11" s="18" t="s">
        <v>24</v>
      </c>
      <c r="F11" s="31">
        <f>SUMIFS(BASE!$K$7:$K$126,BASE!$G$7:$G$126,"JANEIRO",BASE!$H$7:$H$126,$E11)</f>
        <v>180000</v>
      </c>
      <c r="G11" s="31">
        <f>SUMIFS(BASE!$K$7:$K$126,BASE!$G$7:$G$126,"FEVEREIRO",BASE!$H$7:$H$126,$E11)</f>
        <v>168000</v>
      </c>
      <c r="H11" s="31">
        <f>SUMIFS(BASE!$K$7:$K$126,BASE!$G$7:$G$126,"MARÇO",BASE!$H$7:$H$126,$E11)</f>
        <v>180000</v>
      </c>
      <c r="I11" s="31">
        <f>SUMIFS(BASE!$K$7:$K$126,BASE!$G$7:$G$126,"ABRIL",BASE!$H$7:$H$126,$E11)</f>
        <v>174501</v>
      </c>
      <c r="J11" s="31">
        <f>SUMIFS(BASE!$K$7:$K$126,BASE!$G$7:$G$126,"MAIO",BASE!$H$7:$H$126,$E11)</f>
        <v>200000</v>
      </c>
      <c r="K11" s="31">
        <f>SUMIFS(BASE!$K$7:$K$126,BASE!$G$7:$G$126,"JUNHO",BASE!$H$7:$H$126,$E11)</f>
        <v>0</v>
      </c>
      <c r="L11" s="31">
        <f>SUMIFS(BASE!$K$7:$K$126,BASE!$G$7:$G$126,"JULHO",BASE!$H$7:$H$126,$E11)</f>
        <v>0</v>
      </c>
      <c r="M11" s="31">
        <f>SUMIFS(BASE!$K$7:$K$126,BASE!$G$7:$G$126,"AGOSTO",BASE!$H$7:$H$126,$E11)</f>
        <v>0</v>
      </c>
      <c r="N11" s="31">
        <f>SUMIFS(BASE!$K$7:$K$126,BASE!$G$7:$G$126,"SETEMBRO",BASE!$H$7:$H$126,$E11)</f>
        <v>0</v>
      </c>
      <c r="O11" s="31">
        <f>SUMIFS(BASE!$K$7:$K$126,BASE!$G$7:$G$126,"OUTUBRO",BASE!$H$7:$H$126,$E11)</f>
        <v>0</v>
      </c>
      <c r="P11" s="31">
        <f>SUMIFS(BASE!$K$7:$K$126,BASE!$G$7:$G$126,"NOVEMBRO",BASE!$H$7:$H$126,$E11)</f>
        <v>0</v>
      </c>
      <c r="Q11" s="31">
        <f>SUMIFS(BASE!$K$7:$K$126,BASE!$G$7:$G$126,"DEZEMBRO",BASE!$H$7:$H$126,$E11)</f>
        <v>0</v>
      </c>
      <c r="R11" s="32">
        <f t="shared" si="0"/>
        <v>902501</v>
      </c>
    </row>
    <row r="12" spans="5:18" x14ac:dyDescent="0.25">
      <c r="E12" s="18" t="s">
        <v>25</v>
      </c>
      <c r="F12" s="31">
        <f>SUMIFS(BASE!$K$7:$K$126,BASE!$G$7:$G$126,"JANEIRO",BASE!$H$7:$H$126,$E12)</f>
        <v>141778</v>
      </c>
      <c r="G12" s="31">
        <f>SUMIFS(BASE!$K$7:$K$126,BASE!$G$7:$G$126,"FEVEREIRO",BASE!$H$7:$H$126,$E12)</f>
        <v>165000</v>
      </c>
      <c r="H12" s="31">
        <f>SUMIFS(BASE!$K$7:$K$126,BASE!$G$7:$G$126,"MARÇO",BASE!$H$7:$H$126,$E12)</f>
        <v>152920</v>
      </c>
      <c r="I12" s="31">
        <f>SUMIFS(BASE!$K$7:$K$126,BASE!$G$7:$G$126,"ABRIL",BASE!$H$7:$H$126,$E12)</f>
        <v>171029</v>
      </c>
      <c r="J12" s="31">
        <f>SUMIFS(BASE!$K$7:$K$126,BASE!$G$7:$G$126,"MAIO",BASE!$H$7:$H$126,$E12)</f>
        <v>235633</v>
      </c>
      <c r="K12" s="31">
        <f>SUMIFS(BASE!$K$7:$K$126,BASE!$G$7:$G$126,"JUNHO",BASE!$H$7:$H$126,$E12)</f>
        <v>0</v>
      </c>
      <c r="L12" s="31">
        <f>SUMIFS(BASE!$K$7:$K$126,BASE!$G$7:$G$126,"JULHO",BASE!$H$7:$H$126,$E12)</f>
        <v>0</v>
      </c>
      <c r="M12" s="31">
        <f>SUMIFS(BASE!$K$7:$K$126,BASE!$G$7:$G$126,"AGOSTO",BASE!$H$7:$H$126,$E12)</f>
        <v>0</v>
      </c>
      <c r="N12" s="31">
        <f>SUMIFS(BASE!$K$7:$K$126,BASE!$G$7:$G$126,"SETEMBRO",BASE!$H$7:$H$126,$E12)</f>
        <v>0</v>
      </c>
      <c r="O12" s="31">
        <f>SUMIFS(BASE!$K$7:$K$126,BASE!$G$7:$G$126,"OUTUBRO",BASE!$H$7:$H$126,$E12)</f>
        <v>0</v>
      </c>
      <c r="P12" s="31">
        <f>SUMIFS(BASE!$K$7:$K$126,BASE!$G$7:$G$126,"NOVEMBRO",BASE!$H$7:$H$126,$E12)</f>
        <v>0</v>
      </c>
      <c r="Q12" s="31">
        <f>SUMIFS(BASE!$K$7:$K$126,BASE!$G$7:$G$126,"DEZEMBRO",BASE!$H$7:$H$126,$E12)</f>
        <v>0</v>
      </c>
      <c r="R12" s="32">
        <f t="shared" si="0"/>
        <v>866360</v>
      </c>
    </row>
    <row r="13" spans="5:18" x14ac:dyDescent="0.25">
      <c r="E13" s="18" t="s">
        <v>26</v>
      </c>
      <c r="F13" s="31">
        <f>SUMIFS(BASE!$K$7:$K$126,BASE!$G$7:$G$126,"JANEIRO",BASE!$H$7:$H$126,$E13)</f>
        <v>120000</v>
      </c>
      <c r="G13" s="31">
        <f>SUMIFS(BASE!$K$7:$K$126,BASE!$G$7:$G$126,"FEVEREIRO",BASE!$H$7:$H$126,$E13)</f>
        <v>145000</v>
      </c>
      <c r="H13" s="31">
        <f>SUMIFS(BASE!$K$7:$K$126,BASE!$G$7:$G$126,"MARÇO",BASE!$H$7:$H$126,$E13)</f>
        <v>155000</v>
      </c>
      <c r="I13" s="31">
        <f>SUMIFS(BASE!$K$7:$K$126,BASE!$G$7:$G$126,"ABRIL",BASE!$H$7:$H$126,$E13)</f>
        <v>150000</v>
      </c>
      <c r="J13" s="31">
        <f>SUMIFS(BASE!$K$7:$K$126,BASE!$G$7:$G$126,"MAIO",BASE!$H$7:$H$126,$E13)</f>
        <v>180000</v>
      </c>
      <c r="K13" s="31">
        <f>SUMIFS(BASE!$K$7:$K$126,BASE!$G$7:$G$126,"JUNHO",BASE!$H$7:$H$126,$E13)</f>
        <v>0</v>
      </c>
      <c r="L13" s="31">
        <f>SUMIFS(BASE!$K$7:$K$126,BASE!$G$7:$G$126,"JULHO",BASE!$H$7:$H$126,$E13)</f>
        <v>0</v>
      </c>
      <c r="M13" s="31">
        <f>SUMIFS(BASE!$K$7:$K$126,BASE!$G$7:$G$126,"AGOSTO",BASE!$H$7:$H$126,$E13)</f>
        <v>0</v>
      </c>
      <c r="N13" s="31">
        <f>SUMIFS(BASE!$K$7:$K$126,BASE!$G$7:$G$126,"SETEMBRO",BASE!$H$7:$H$126,$E13)</f>
        <v>0</v>
      </c>
      <c r="O13" s="31">
        <f>SUMIFS(BASE!$K$7:$K$126,BASE!$G$7:$G$126,"OUTUBRO",BASE!$H$7:$H$126,$E13)</f>
        <v>0</v>
      </c>
      <c r="P13" s="31">
        <f>SUMIFS(BASE!$K$7:$K$126,BASE!$G$7:$G$126,"NOVEMBRO",BASE!$H$7:$H$126,$E13)</f>
        <v>0</v>
      </c>
      <c r="Q13" s="31">
        <f>SUMIFS(BASE!$K$7:$K$126,BASE!$G$7:$G$126,"DEZEMBRO",BASE!$H$7:$H$126,$E13)</f>
        <v>0</v>
      </c>
      <c r="R13" s="32">
        <f t="shared" si="0"/>
        <v>750000</v>
      </c>
    </row>
    <row r="14" spans="5:18" x14ac:dyDescent="0.25">
      <c r="E14" s="18" t="s">
        <v>27</v>
      </c>
      <c r="F14" s="31">
        <f>SUMIFS(BASE!$K$7:$K$126,BASE!$G$7:$G$126,"JANEIRO",BASE!$H$7:$H$126,$E14)</f>
        <v>140000</v>
      </c>
      <c r="G14" s="31">
        <f>SUMIFS(BASE!$K$7:$K$126,BASE!$G$7:$G$126,"FEVEREIRO",BASE!$H$7:$H$126,$E14)</f>
        <v>147000</v>
      </c>
      <c r="H14" s="31">
        <f>SUMIFS(BASE!$K$7:$K$126,BASE!$G$7:$G$126,"MARÇO",BASE!$H$7:$H$126,$E14)</f>
        <v>167493</v>
      </c>
      <c r="I14" s="31">
        <f>SUMIFS(BASE!$K$7:$K$126,BASE!$G$7:$G$126,"ABRIL",BASE!$H$7:$H$126,$E14)</f>
        <v>178902</v>
      </c>
      <c r="J14" s="31">
        <f>SUMIFS(BASE!$K$7:$K$126,BASE!$G$7:$G$126,"MAIO",BASE!$H$7:$H$126,$E14)</f>
        <v>269314</v>
      </c>
      <c r="K14" s="31">
        <f>SUMIFS(BASE!$K$7:$K$126,BASE!$G$7:$G$126,"JUNHO",BASE!$H$7:$H$126,$E14)</f>
        <v>0</v>
      </c>
      <c r="L14" s="31">
        <f>SUMIFS(BASE!$K$7:$K$126,BASE!$G$7:$G$126,"JULHO",BASE!$H$7:$H$126,$E14)</f>
        <v>0</v>
      </c>
      <c r="M14" s="31">
        <f>SUMIFS(BASE!$K$7:$K$126,BASE!$G$7:$G$126,"AGOSTO",BASE!$H$7:$H$126,$E14)</f>
        <v>0</v>
      </c>
      <c r="N14" s="31">
        <f>SUMIFS(BASE!$K$7:$K$126,BASE!$G$7:$G$126,"SETEMBRO",BASE!$H$7:$H$126,$E14)</f>
        <v>0</v>
      </c>
      <c r="O14" s="31">
        <f>SUMIFS(BASE!$K$7:$K$126,BASE!$G$7:$G$126,"OUTUBRO",BASE!$H$7:$H$126,$E14)</f>
        <v>0</v>
      </c>
      <c r="P14" s="31">
        <f>SUMIFS(BASE!$K$7:$K$126,BASE!$G$7:$G$126,"NOVEMBRO",BASE!$H$7:$H$126,$E14)</f>
        <v>0</v>
      </c>
      <c r="Q14" s="31">
        <f>SUMIFS(BASE!$K$7:$K$126,BASE!$G$7:$G$126,"DEZEMBRO",BASE!$H$7:$H$126,$E14)</f>
        <v>0</v>
      </c>
      <c r="R14" s="32">
        <f t="shared" si="0"/>
        <v>902709</v>
      </c>
    </row>
    <row r="15" spans="5:18" x14ac:dyDescent="0.25">
      <c r="E15" s="33" t="s">
        <v>28</v>
      </c>
      <c r="F15" s="34">
        <f t="shared" ref="F15:R15" si="1">SUM(F5:F14)</f>
        <v>1222921</v>
      </c>
      <c r="G15" s="34">
        <f t="shared" si="1"/>
        <v>1241284</v>
      </c>
      <c r="H15" s="34">
        <f t="shared" si="1"/>
        <v>1285691</v>
      </c>
      <c r="I15" s="34">
        <f t="shared" si="1"/>
        <v>1363444</v>
      </c>
      <c r="J15" s="34">
        <f t="shared" si="1"/>
        <v>1828435</v>
      </c>
      <c r="K15" s="34">
        <f t="shared" si="1"/>
        <v>0</v>
      </c>
      <c r="L15" s="34">
        <f t="shared" si="1"/>
        <v>0</v>
      </c>
      <c r="M15" s="34">
        <f t="shared" si="1"/>
        <v>0</v>
      </c>
      <c r="N15" s="34">
        <f t="shared" si="1"/>
        <v>0</v>
      </c>
      <c r="O15" s="34">
        <f t="shared" si="1"/>
        <v>0</v>
      </c>
      <c r="P15" s="34">
        <f t="shared" si="1"/>
        <v>0</v>
      </c>
      <c r="Q15" s="34">
        <f t="shared" si="1"/>
        <v>0</v>
      </c>
      <c r="R15" s="34">
        <f t="shared" si="1"/>
        <v>6941775</v>
      </c>
    </row>
    <row r="17" spans="5:18" ht="24" customHeight="1" x14ac:dyDescent="0.25">
      <c r="E17" s="38" t="s">
        <v>64</v>
      </c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</row>
    <row r="18" spans="5:18" x14ac:dyDescent="0.25">
      <c r="E18" s="29" t="s">
        <v>7</v>
      </c>
      <c r="F18" s="30" t="s">
        <v>51</v>
      </c>
      <c r="G18" s="30" t="s">
        <v>52</v>
      </c>
      <c r="H18" s="30" t="s">
        <v>53</v>
      </c>
      <c r="I18" s="30" t="s">
        <v>54</v>
      </c>
      <c r="J18" s="30" t="s">
        <v>55</v>
      </c>
      <c r="K18" s="30" t="s">
        <v>56</v>
      </c>
      <c r="L18" s="30" t="s">
        <v>57</v>
      </c>
      <c r="M18" s="30" t="s">
        <v>58</v>
      </c>
      <c r="N18" s="30" t="s">
        <v>59</v>
      </c>
      <c r="O18" s="30" t="s">
        <v>60</v>
      </c>
      <c r="P18" s="30" t="s">
        <v>61</v>
      </c>
      <c r="Q18" s="30" t="s">
        <v>62</v>
      </c>
      <c r="R18" s="30" t="s">
        <v>63</v>
      </c>
    </row>
    <row r="19" spans="5:18" x14ac:dyDescent="0.25">
      <c r="E19" s="18" t="s">
        <v>18</v>
      </c>
      <c r="F19" s="31">
        <f>SUMIFS(BASE!$L$7:$L$126,BASE!$G$7:$G$126,"JANEIRO",BASE!$H$7:$H$126,$E19)</f>
        <v>115212.11</v>
      </c>
      <c r="G19" s="31">
        <f>SUMIFS(BASE!$L$7:$L$126,BASE!$G$7:$G$126,"FEVEREIRO",BASE!$H$7:$H$126,$E19)</f>
        <v>84654.27</v>
      </c>
      <c r="H19" s="31">
        <f>SUMIFS(BASE!$L$7:$L$126,BASE!$G$7:$G$126,"MARÇO",BASE!$H$7:$H$126,$E19)</f>
        <v>160893.47</v>
      </c>
      <c r="I19" s="31">
        <f>SUMIFS(BASE!$L$7:$L$126,BASE!$G$7:$G$126,"ABRIL",BASE!$H$7:$H$126,$E19)</f>
        <v>132007.35</v>
      </c>
      <c r="J19" s="31">
        <f>SUMIFS(BASE!$L$7:$L$126,BASE!$G$7:$G$126,"MAIO",BASE!$H$7:$H$126,$E19)</f>
        <v>149548.5</v>
      </c>
      <c r="K19" s="31">
        <f>SUMIFS(BASE!$L$7:$L$126,BASE!$G$7:$G$126,"JUNHO",BASE!$H$7:$H$126,$E19)</f>
        <v>0</v>
      </c>
      <c r="L19" s="31">
        <f>SUMIFS(BASE!$L$7:$L$126,BASE!$G$7:$G$126,"JULHO",BASE!$H$7:$H$126,$E19)</f>
        <v>0</v>
      </c>
      <c r="M19" s="31">
        <f>SUMIFS(BASE!$L$7:$L$126,BASE!$G$7:$G$126,"AGOSTO",BASE!$H$7:$H$126,$E19)</f>
        <v>0</v>
      </c>
      <c r="N19" s="31">
        <f>SUMIFS(BASE!$L$7:$L$126,BASE!$G$7:$G$126,"SETEMBRO",BASE!$H$7:$H$126,$E19)</f>
        <v>0</v>
      </c>
      <c r="O19" s="31">
        <f>SUMIFS(BASE!$L$7:$L$126,BASE!$G$7:$G$126,"OUTUBRO",BASE!$H$7:$H$126,$E19)</f>
        <v>0</v>
      </c>
      <c r="P19" s="31">
        <f>SUMIFS(BASE!$L$7:$L$126,BASE!$G$7:$G$126,"NOVEMBRO",BASE!$H$7:$H$126,$E19)</f>
        <v>0</v>
      </c>
      <c r="Q19" s="31">
        <f>SUMIFS(BASE!$L$7:$L$126,BASE!$G$7:$G$126,"DEZEMBRO",BASE!$H$7:$H$126,$E19)</f>
        <v>0</v>
      </c>
      <c r="R19" s="32">
        <f t="shared" ref="R19:R28" si="2">SUM(F19:Q19)</f>
        <v>642315.69999999995</v>
      </c>
    </row>
    <row r="20" spans="5:18" x14ac:dyDescent="0.25">
      <c r="E20" s="18" t="s">
        <v>19</v>
      </c>
      <c r="F20" s="31">
        <f>SUMIFS(BASE!$L$7:$L$126,BASE!$G$7:$G$126,"JANEIRO",BASE!$H$7:$H$126,$E20)</f>
        <v>0</v>
      </c>
      <c r="G20" s="31">
        <f>SUMIFS(BASE!$L$7:$L$126,BASE!$G$7:$G$126,"FEVEREIRO",BASE!$H$7:$H$126,$E20)</f>
        <v>0</v>
      </c>
      <c r="H20" s="31">
        <f>SUMIFS(BASE!$L$7:$L$126,BASE!$G$7:$G$126,"MARÇO",BASE!$H$7:$H$126,$E20)</f>
        <v>0</v>
      </c>
      <c r="I20" s="31">
        <f>SUMIFS(BASE!$L$7:$L$126,BASE!$G$7:$G$126,"ABRIL",BASE!$H$7:$H$126,$E20)</f>
        <v>0</v>
      </c>
      <c r="J20" s="31">
        <f>SUMIFS(BASE!$L$7:$L$126,BASE!$G$7:$G$126,"MAIO",BASE!$H$7:$H$126,$E20)</f>
        <v>0</v>
      </c>
      <c r="K20" s="31">
        <f>SUMIFS(BASE!$L$7:$L$126,BASE!$G$7:$G$126,"JUNHO",BASE!$H$7:$H$126,$E20)</f>
        <v>0</v>
      </c>
      <c r="L20" s="31">
        <f>SUMIFS(BASE!$L$7:$L$126,BASE!$G$7:$G$126,"JULHO",BASE!$H$7:$H$126,$E20)</f>
        <v>0</v>
      </c>
      <c r="M20" s="31">
        <f>SUMIFS(BASE!$L$7:$L$126,BASE!$G$7:$G$126,"AGOSTO",BASE!$H$7:$H$126,$E20)</f>
        <v>0</v>
      </c>
      <c r="N20" s="31">
        <f>SUMIFS(BASE!$L$7:$L$126,BASE!$G$7:$G$126,"SETEMBRO",BASE!$H$7:$H$126,$E20)</f>
        <v>0</v>
      </c>
      <c r="O20" s="31">
        <f>SUMIFS(BASE!$L$7:$L$126,BASE!$G$7:$G$126,"OUTUBRO",BASE!$H$7:$H$126,$E20)</f>
        <v>0</v>
      </c>
      <c r="P20" s="31">
        <f>SUMIFS(BASE!$L$7:$L$126,BASE!$G$7:$G$126,"NOVEMBRO",BASE!$H$7:$H$126,$E20)</f>
        <v>0</v>
      </c>
      <c r="Q20" s="31">
        <f>SUMIFS(BASE!$L$7:$L$126,BASE!$G$7:$G$126,"DEZEMBRO",BASE!$H$7:$H$126,$E20)</f>
        <v>0</v>
      </c>
      <c r="R20" s="32">
        <f t="shared" si="2"/>
        <v>0</v>
      </c>
    </row>
    <row r="21" spans="5:18" x14ac:dyDescent="0.25">
      <c r="E21" s="18" t="s">
        <v>20</v>
      </c>
      <c r="F21" s="31">
        <f>SUMIFS(BASE!$L$7:$L$126,BASE!$G$7:$G$126,"JANEIRO",BASE!$H$7:$H$126,$E21)</f>
        <v>101425.86</v>
      </c>
      <c r="G21" s="31">
        <f>SUMIFS(BASE!$L$7:$L$126,BASE!$G$7:$G$126,"FEVEREIRO",BASE!$H$7:$H$126,$E21)</f>
        <v>85034.68</v>
      </c>
      <c r="H21" s="31">
        <f>SUMIFS(BASE!$L$7:$L$126,BASE!$G$7:$G$126,"MARÇO",BASE!$H$7:$H$126,$E21)</f>
        <v>135921.39000000001</v>
      </c>
      <c r="I21" s="31">
        <f>SUMIFS(BASE!$L$7:$L$126,BASE!$G$7:$G$126,"ABRIL",BASE!$H$7:$H$126,$E21)</f>
        <v>127244.65</v>
      </c>
      <c r="J21" s="31">
        <f>SUMIFS(BASE!$L$7:$L$126,BASE!$G$7:$G$126,"MAIO",BASE!$H$7:$H$126,$E21)</f>
        <v>95764.39</v>
      </c>
      <c r="K21" s="31">
        <f>SUMIFS(BASE!$L$7:$L$126,BASE!$G$7:$G$126,"JUNHO",BASE!$H$7:$H$126,$E21)</f>
        <v>0</v>
      </c>
      <c r="L21" s="31">
        <f>SUMIFS(BASE!$L$7:$L$126,BASE!$G$7:$G$126,"JULHO",BASE!$H$7:$H$126,$E21)</f>
        <v>0</v>
      </c>
      <c r="M21" s="31">
        <f>SUMIFS(BASE!$L$7:$L$126,BASE!$G$7:$G$126,"AGOSTO",BASE!$H$7:$H$126,$E21)</f>
        <v>0</v>
      </c>
      <c r="N21" s="31">
        <f>SUMIFS(BASE!$L$7:$L$126,BASE!$G$7:$G$126,"SETEMBRO",BASE!$H$7:$H$126,$E21)</f>
        <v>0</v>
      </c>
      <c r="O21" s="31">
        <f>SUMIFS(BASE!$L$7:$L$126,BASE!$G$7:$G$126,"OUTUBRO",BASE!$H$7:$H$126,$E21)</f>
        <v>0</v>
      </c>
      <c r="P21" s="31">
        <f>SUMIFS(BASE!$L$7:$L$126,BASE!$G$7:$G$126,"NOVEMBRO",BASE!$H$7:$H$126,$E21)</f>
        <v>0</v>
      </c>
      <c r="Q21" s="31">
        <f>SUMIFS(BASE!$L$7:$L$126,BASE!$G$7:$G$126,"DEZEMBRO",BASE!$H$7:$H$126,$E21)</f>
        <v>0</v>
      </c>
      <c r="R21" s="32">
        <f t="shared" si="2"/>
        <v>545390.97</v>
      </c>
    </row>
    <row r="22" spans="5:18" x14ac:dyDescent="0.25">
      <c r="E22" s="18" t="s">
        <v>21</v>
      </c>
      <c r="F22" s="31">
        <f>SUMIFS(BASE!$L$7:$L$126,BASE!$G$7:$G$126,"JANEIRO",BASE!$H$7:$H$126,$E22)</f>
        <v>87927.27</v>
      </c>
      <c r="G22" s="31">
        <f>SUMIFS(BASE!$L$7:$L$126,BASE!$G$7:$G$126,"FEVEREIRO",BASE!$H$7:$H$126,$E22)</f>
        <v>61886.97</v>
      </c>
      <c r="H22" s="31">
        <f>SUMIFS(BASE!$L$7:$L$126,BASE!$G$7:$G$126,"MARÇO",BASE!$H$7:$H$126,$E22)</f>
        <v>111317.47</v>
      </c>
      <c r="I22" s="31">
        <f>SUMIFS(BASE!$L$7:$L$126,BASE!$G$7:$G$126,"ABRIL",BASE!$H$7:$H$126,$E22)</f>
        <v>104741.32</v>
      </c>
      <c r="J22" s="31">
        <f>SUMIFS(BASE!$L$7:$L$126,BASE!$G$7:$G$126,"MAIO",BASE!$H$7:$H$126,$E22)</f>
        <v>102588.12</v>
      </c>
      <c r="K22" s="31">
        <f>SUMIFS(BASE!$L$7:$L$126,BASE!$G$7:$G$126,"JUNHO",BASE!$H$7:$H$126,$E22)</f>
        <v>0</v>
      </c>
      <c r="L22" s="31">
        <f>SUMIFS(BASE!$L$7:$L$126,BASE!$G$7:$G$126,"JULHO",BASE!$H$7:$H$126,$E22)</f>
        <v>0</v>
      </c>
      <c r="M22" s="31">
        <f>SUMIFS(BASE!$L$7:$L$126,BASE!$G$7:$G$126,"AGOSTO",BASE!$H$7:$H$126,$E22)</f>
        <v>0</v>
      </c>
      <c r="N22" s="31">
        <f>SUMIFS(BASE!$L$7:$L$126,BASE!$G$7:$G$126,"SETEMBRO",BASE!$H$7:$H$126,$E22)</f>
        <v>0</v>
      </c>
      <c r="O22" s="31">
        <f>SUMIFS(BASE!$L$7:$L$126,BASE!$G$7:$G$126,"OUTUBRO",BASE!$H$7:$H$126,$E22)</f>
        <v>0</v>
      </c>
      <c r="P22" s="31">
        <f>SUMIFS(BASE!$L$7:$L$126,BASE!$G$7:$G$126,"NOVEMBRO",BASE!$H$7:$H$126,$E22)</f>
        <v>0</v>
      </c>
      <c r="Q22" s="31">
        <f>SUMIFS(BASE!$L$7:$L$126,BASE!$G$7:$G$126,"DEZEMBRO",BASE!$H$7:$H$126,$E22)</f>
        <v>0</v>
      </c>
      <c r="R22" s="32">
        <f t="shared" si="2"/>
        <v>468461.15</v>
      </c>
    </row>
    <row r="23" spans="5:18" x14ac:dyDescent="0.25">
      <c r="E23" s="18" t="s">
        <v>22</v>
      </c>
      <c r="F23" s="31">
        <f>SUMIFS(BASE!$L$7:$L$126,BASE!$G$7:$G$126,"JANEIRO",BASE!$H$7:$H$126,$E23)</f>
        <v>127540.82</v>
      </c>
      <c r="G23" s="31">
        <f>SUMIFS(BASE!$L$7:$L$126,BASE!$G$7:$G$126,"FEVEREIRO",BASE!$H$7:$H$126,$E23)</f>
        <v>94696.8</v>
      </c>
      <c r="H23" s="31">
        <f>SUMIFS(BASE!$L$7:$L$126,BASE!$G$7:$G$126,"MARÇO",BASE!$H$7:$H$126,$E23)</f>
        <v>211346.6</v>
      </c>
      <c r="I23" s="31">
        <f>SUMIFS(BASE!$L$7:$L$126,BASE!$G$7:$G$126,"ABRIL",BASE!$H$7:$H$126,$E23)</f>
        <v>141908.95000000001</v>
      </c>
      <c r="J23" s="31">
        <f>SUMIFS(BASE!$L$7:$L$126,BASE!$G$7:$G$126,"MAIO",BASE!$H$7:$H$126,$E23)</f>
        <v>135115.64000000001</v>
      </c>
      <c r="K23" s="31">
        <f>SUMIFS(BASE!$L$7:$L$126,BASE!$G$7:$G$126,"JUNHO",BASE!$H$7:$H$126,$E23)</f>
        <v>0</v>
      </c>
      <c r="L23" s="31">
        <f>SUMIFS(BASE!$L$7:$L$126,BASE!$G$7:$G$126,"JULHO",BASE!$H$7:$H$126,$E23)</f>
        <v>0</v>
      </c>
      <c r="M23" s="31">
        <f>SUMIFS(BASE!$L$7:$L$126,BASE!$G$7:$G$126,"AGOSTO",BASE!$H$7:$H$126,$E23)</f>
        <v>0</v>
      </c>
      <c r="N23" s="31">
        <f>SUMIFS(BASE!$L$7:$L$126,BASE!$G$7:$G$126,"SETEMBRO",BASE!$H$7:$H$126,$E23)</f>
        <v>0</v>
      </c>
      <c r="O23" s="31">
        <f>SUMIFS(BASE!$L$7:$L$126,BASE!$G$7:$G$126,"OUTUBRO",BASE!$H$7:$H$126,$E23)</f>
        <v>0</v>
      </c>
      <c r="P23" s="31">
        <f>SUMIFS(BASE!$L$7:$L$126,BASE!$G$7:$G$126,"NOVEMBRO",BASE!$H$7:$H$126,$E23)</f>
        <v>0</v>
      </c>
      <c r="Q23" s="31">
        <f>SUMIFS(BASE!$L$7:$L$126,BASE!$G$7:$G$126,"DEZEMBRO",BASE!$H$7:$H$126,$E23)</f>
        <v>0</v>
      </c>
      <c r="R23" s="32">
        <f t="shared" si="2"/>
        <v>710608.80999999994</v>
      </c>
    </row>
    <row r="24" spans="5:18" x14ac:dyDescent="0.25">
      <c r="E24" s="18" t="s">
        <v>23</v>
      </c>
      <c r="F24" s="31">
        <f>SUMIFS(BASE!$L$7:$L$126,BASE!$G$7:$G$126,"JANEIRO",BASE!$H$7:$H$126,$E24)</f>
        <v>80248.13</v>
      </c>
      <c r="G24" s="31">
        <f>SUMIFS(BASE!$L$7:$L$126,BASE!$G$7:$G$126,"FEVEREIRO",BASE!$H$7:$H$126,$E24)</f>
        <v>58266.17</v>
      </c>
      <c r="H24" s="31">
        <f>SUMIFS(BASE!$L$7:$L$126,BASE!$G$7:$G$126,"MARÇO",BASE!$H$7:$H$126,$E24)</f>
        <v>127108.93</v>
      </c>
      <c r="I24" s="31">
        <f>SUMIFS(BASE!$L$7:$L$126,BASE!$G$7:$G$126,"ABRIL",BASE!$H$7:$H$126,$E24)</f>
        <v>92795.8</v>
      </c>
      <c r="J24" s="31">
        <f>SUMIFS(BASE!$L$7:$L$126,BASE!$G$7:$G$126,"MAIO",BASE!$H$7:$H$126,$E24)</f>
        <v>91900.81</v>
      </c>
      <c r="K24" s="31">
        <f>SUMIFS(BASE!$L$7:$L$126,BASE!$G$7:$G$126,"JUNHO",BASE!$H$7:$H$126,$E24)</f>
        <v>0</v>
      </c>
      <c r="L24" s="31">
        <f>SUMIFS(BASE!$L$7:$L$126,BASE!$G$7:$G$126,"JULHO",BASE!$H$7:$H$126,$E24)</f>
        <v>0</v>
      </c>
      <c r="M24" s="31">
        <f>SUMIFS(BASE!$L$7:$L$126,BASE!$G$7:$G$126,"AGOSTO",BASE!$H$7:$H$126,$E24)</f>
        <v>0</v>
      </c>
      <c r="N24" s="31">
        <f>SUMIFS(BASE!$L$7:$L$126,BASE!$G$7:$G$126,"SETEMBRO",BASE!$H$7:$H$126,$E24)</f>
        <v>0</v>
      </c>
      <c r="O24" s="31">
        <f>SUMIFS(BASE!$L$7:$L$126,BASE!$G$7:$G$126,"OUTUBRO",BASE!$H$7:$H$126,$E24)</f>
        <v>0</v>
      </c>
      <c r="P24" s="31">
        <f>SUMIFS(BASE!$L$7:$L$126,BASE!$G$7:$G$126,"NOVEMBRO",BASE!$H$7:$H$126,$E24)</f>
        <v>0</v>
      </c>
      <c r="Q24" s="31">
        <f>SUMIFS(BASE!$L$7:$L$126,BASE!$G$7:$G$126,"DEZEMBRO",BASE!$H$7:$H$126,$E24)</f>
        <v>0</v>
      </c>
      <c r="R24" s="32">
        <f t="shared" si="2"/>
        <v>450319.83999999997</v>
      </c>
    </row>
    <row r="25" spans="5:18" x14ac:dyDescent="0.25">
      <c r="E25" s="18" t="s">
        <v>24</v>
      </c>
      <c r="F25" s="31">
        <f>SUMIFS(BASE!$L$7:$L$126,BASE!$G$7:$G$126,"JANEIRO",BASE!$H$7:$H$126,$E25)</f>
        <v>134077.70000000001</v>
      </c>
      <c r="G25" s="31">
        <f>SUMIFS(BASE!$L$7:$L$126,BASE!$G$7:$G$126,"FEVEREIRO",BASE!$H$7:$H$126,$E25)</f>
        <v>107305.48</v>
      </c>
      <c r="H25" s="31">
        <f>SUMIFS(BASE!$L$7:$L$126,BASE!$G$7:$G$126,"MARÇO",BASE!$H$7:$H$126,$E25)</f>
        <v>191891.56</v>
      </c>
      <c r="I25" s="31">
        <f>SUMIFS(BASE!$L$7:$L$126,BASE!$G$7:$G$126,"ABRIL",BASE!$H$7:$H$126,$E25)</f>
        <v>163215.60999999999</v>
      </c>
      <c r="J25" s="31">
        <f>SUMIFS(BASE!$L$7:$L$126,BASE!$G$7:$G$126,"MAIO",BASE!$H$7:$H$126,$E25)</f>
        <v>113166.98</v>
      </c>
      <c r="K25" s="31">
        <f>SUMIFS(BASE!$L$7:$L$126,BASE!$G$7:$G$126,"JUNHO",BASE!$H$7:$H$126,$E25)</f>
        <v>0</v>
      </c>
      <c r="L25" s="31">
        <f>SUMIFS(BASE!$L$7:$L$126,BASE!$G$7:$G$126,"JULHO",BASE!$H$7:$H$126,$E25)</f>
        <v>0</v>
      </c>
      <c r="M25" s="31">
        <f>SUMIFS(BASE!$L$7:$L$126,BASE!$G$7:$G$126,"AGOSTO",BASE!$H$7:$H$126,$E25)</f>
        <v>0</v>
      </c>
      <c r="N25" s="31">
        <f>SUMIFS(BASE!$L$7:$L$126,BASE!$G$7:$G$126,"SETEMBRO",BASE!$H$7:$H$126,$E25)</f>
        <v>0</v>
      </c>
      <c r="O25" s="31">
        <f>SUMIFS(BASE!$L$7:$L$126,BASE!$G$7:$G$126,"OUTUBRO",BASE!$H$7:$H$126,$E25)</f>
        <v>0</v>
      </c>
      <c r="P25" s="31">
        <f>SUMIFS(BASE!$L$7:$L$126,BASE!$G$7:$G$126,"NOVEMBRO",BASE!$H$7:$H$126,$E25)</f>
        <v>0</v>
      </c>
      <c r="Q25" s="31">
        <f>SUMIFS(BASE!$L$7:$L$126,BASE!$G$7:$G$126,"DEZEMBRO",BASE!$H$7:$H$126,$E25)</f>
        <v>0</v>
      </c>
      <c r="R25" s="32">
        <f t="shared" si="2"/>
        <v>709657.33</v>
      </c>
    </row>
    <row r="26" spans="5:18" x14ac:dyDescent="0.25">
      <c r="E26" s="18" t="s">
        <v>25</v>
      </c>
      <c r="F26" s="31">
        <f>SUMIFS(BASE!$L$7:$L$126,BASE!$G$7:$G$126,"JANEIRO",BASE!$H$7:$H$126,$E26)</f>
        <v>135322.99</v>
      </c>
      <c r="G26" s="31">
        <f>SUMIFS(BASE!$L$7:$L$126,BASE!$G$7:$G$126,"FEVEREIRO",BASE!$H$7:$H$126,$E26)</f>
        <v>102918.8</v>
      </c>
      <c r="H26" s="31">
        <f>SUMIFS(BASE!$L$7:$L$126,BASE!$G$7:$G$126,"MARÇO",BASE!$H$7:$H$126,$E26)</f>
        <v>189167.41</v>
      </c>
      <c r="I26" s="31">
        <f>SUMIFS(BASE!$L$7:$L$126,BASE!$G$7:$G$126,"ABRIL",BASE!$H$7:$H$126,$E26)</f>
        <v>176400.42</v>
      </c>
      <c r="J26" s="31">
        <f>SUMIFS(BASE!$L$7:$L$126,BASE!$G$7:$G$126,"MAIO",BASE!$H$7:$H$126,$E26)</f>
        <v>146808.19</v>
      </c>
      <c r="K26" s="31">
        <f>SUMIFS(BASE!$L$7:$L$126,BASE!$G$7:$G$126,"JUNHO",BASE!$H$7:$H$126,$E26)</f>
        <v>0</v>
      </c>
      <c r="L26" s="31">
        <f>SUMIFS(BASE!$L$7:$L$126,BASE!$G$7:$G$126,"JULHO",BASE!$H$7:$H$126,$E26)</f>
        <v>0</v>
      </c>
      <c r="M26" s="31">
        <f>SUMIFS(BASE!$L$7:$L$126,BASE!$G$7:$G$126,"AGOSTO",BASE!$H$7:$H$126,$E26)</f>
        <v>0</v>
      </c>
      <c r="N26" s="31">
        <f>SUMIFS(BASE!$L$7:$L$126,BASE!$G$7:$G$126,"SETEMBRO",BASE!$H$7:$H$126,$E26)</f>
        <v>0</v>
      </c>
      <c r="O26" s="31">
        <f>SUMIFS(BASE!$L$7:$L$126,BASE!$G$7:$G$126,"OUTUBRO",BASE!$H$7:$H$126,$E26)</f>
        <v>0</v>
      </c>
      <c r="P26" s="31">
        <f>SUMIFS(BASE!$L$7:$L$126,BASE!$G$7:$G$126,"NOVEMBRO",BASE!$H$7:$H$126,$E26)</f>
        <v>0</v>
      </c>
      <c r="Q26" s="31">
        <f>SUMIFS(BASE!$L$7:$L$126,BASE!$G$7:$G$126,"DEZEMBRO",BASE!$H$7:$H$126,$E26)</f>
        <v>0</v>
      </c>
      <c r="R26" s="32">
        <f t="shared" si="2"/>
        <v>750617.81</v>
      </c>
    </row>
    <row r="27" spans="5:18" x14ac:dyDescent="0.25">
      <c r="E27" s="18" t="s">
        <v>26</v>
      </c>
      <c r="F27" s="31">
        <f>SUMIFS(BASE!$L$7:$L$126,BASE!$G$7:$G$126,"JANEIRO",BASE!$H$7:$H$126,$E27)</f>
        <v>101310.26</v>
      </c>
      <c r="G27" s="31">
        <f>SUMIFS(BASE!$L$7:$L$126,BASE!$G$7:$G$126,"FEVEREIRO",BASE!$H$7:$H$126,$E27)</f>
        <v>88651.15</v>
      </c>
      <c r="H27" s="31">
        <f>SUMIFS(BASE!$L$7:$L$126,BASE!$G$7:$G$126,"MARÇO",BASE!$H$7:$H$126,$E27)</f>
        <v>166004.89000000001</v>
      </c>
      <c r="I27" s="31">
        <f>SUMIFS(BASE!$L$7:$L$126,BASE!$G$7:$G$126,"ABRIL",BASE!$H$7:$H$126,$E27)</f>
        <v>144467.88</v>
      </c>
      <c r="J27" s="31">
        <f>SUMIFS(BASE!$L$7:$L$126,BASE!$G$7:$G$126,"MAIO",BASE!$H$7:$H$126,$E27)</f>
        <v>139354.01</v>
      </c>
      <c r="K27" s="31">
        <f>SUMIFS(BASE!$L$7:$L$126,BASE!$G$7:$G$126,"JUNHO",BASE!$H$7:$H$126,$E27)</f>
        <v>0</v>
      </c>
      <c r="L27" s="31">
        <f>SUMIFS(BASE!$L$7:$L$126,BASE!$G$7:$G$126,"JULHO",BASE!$H$7:$H$126,$E27)</f>
        <v>0</v>
      </c>
      <c r="M27" s="31">
        <f>SUMIFS(BASE!$L$7:$L$126,BASE!$G$7:$G$126,"AGOSTO",BASE!$H$7:$H$126,$E27)</f>
        <v>0</v>
      </c>
      <c r="N27" s="31">
        <f>SUMIFS(BASE!$L$7:$L$126,BASE!$G$7:$G$126,"SETEMBRO",BASE!$H$7:$H$126,$E27)</f>
        <v>0</v>
      </c>
      <c r="O27" s="31">
        <f>SUMIFS(BASE!$L$7:$L$126,BASE!$G$7:$G$126,"OUTUBRO",BASE!$H$7:$H$126,$E27)</f>
        <v>0</v>
      </c>
      <c r="P27" s="31">
        <f>SUMIFS(BASE!$L$7:$L$126,BASE!$G$7:$G$126,"NOVEMBRO",BASE!$H$7:$H$126,$E27)</f>
        <v>0</v>
      </c>
      <c r="Q27" s="31">
        <f>SUMIFS(BASE!$L$7:$L$126,BASE!$G$7:$G$126,"DEZEMBRO",BASE!$H$7:$H$126,$E27)</f>
        <v>0</v>
      </c>
      <c r="R27" s="32">
        <f t="shared" si="2"/>
        <v>639788.18999999994</v>
      </c>
    </row>
    <row r="28" spans="5:18" x14ac:dyDescent="0.25">
      <c r="E28" s="18" t="s">
        <v>27</v>
      </c>
      <c r="F28" s="31">
        <f>SUMIFS(BASE!$L$7:$L$126,BASE!$G$7:$G$126,"JANEIRO",BASE!$H$7:$H$126,$E28)</f>
        <v>152021.53</v>
      </c>
      <c r="G28" s="31">
        <f>SUMIFS(BASE!$L$7:$L$126,BASE!$G$7:$G$126,"FEVEREIRO",BASE!$H$7:$H$126,$E28)</f>
        <v>108206.22</v>
      </c>
      <c r="H28" s="31">
        <f>SUMIFS(BASE!$L$7:$L$126,BASE!$G$7:$G$126,"MARÇO",BASE!$H$7:$H$126,$E28)</f>
        <v>210418.91</v>
      </c>
      <c r="I28" s="31">
        <f>SUMIFS(BASE!$L$7:$L$126,BASE!$G$7:$G$126,"ABRIL",BASE!$H$7:$H$126,$E28)</f>
        <v>185511.58</v>
      </c>
      <c r="J28" s="31">
        <f>SUMIFS(BASE!$L$7:$L$126,BASE!$G$7:$G$126,"MAIO",BASE!$H$7:$H$126,$E28)</f>
        <v>171648.07</v>
      </c>
      <c r="K28" s="31">
        <f>SUMIFS(BASE!$L$7:$L$126,BASE!$G$7:$G$126,"JUNHO",BASE!$H$7:$H$126,$E28)</f>
        <v>0</v>
      </c>
      <c r="L28" s="31">
        <f>SUMIFS(BASE!$L$7:$L$126,BASE!$G$7:$G$126,"JULHO",BASE!$H$7:$H$126,$E28)</f>
        <v>0</v>
      </c>
      <c r="M28" s="31">
        <f>SUMIFS(BASE!$L$7:$L$126,BASE!$G$7:$G$126,"AGOSTO",BASE!$H$7:$H$126,$E28)</f>
        <v>0</v>
      </c>
      <c r="N28" s="31">
        <f>SUMIFS(BASE!$L$7:$L$126,BASE!$G$7:$G$126,"SETEMBRO",BASE!$H$7:$H$126,$E28)</f>
        <v>0</v>
      </c>
      <c r="O28" s="31">
        <f>SUMIFS(BASE!$L$7:$L$126,BASE!$G$7:$G$126,"OUTUBRO",BASE!$H$7:$H$126,$E28)</f>
        <v>0</v>
      </c>
      <c r="P28" s="31">
        <f>SUMIFS(BASE!$L$7:$L$126,BASE!$G$7:$G$126,"NOVEMBRO",BASE!$H$7:$H$126,$E28)</f>
        <v>0</v>
      </c>
      <c r="Q28" s="31">
        <f>SUMIFS(BASE!$L$7:$L$126,BASE!$G$7:$G$126,"DEZEMBRO",BASE!$H$7:$H$126,$E28)</f>
        <v>0</v>
      </c>
      <c r="R28" s="32">
        <f t="shared" si="2"/>
        <v>827806.31</v>
      </c>
    </row>
    <row r="29" spans="5:18" x14ac:dyDescent="0.25">
      <c r="E29" s="33" t="s">
        <v>28</v>
      </c>
      <c r="F29" s="34">
        <f t="shared" ref="F29:R29" si="3">SUM(F19:F28)</f>
        <v>1035086.67</v>
      </c>
      <c r="G29" s="34">
        <f t="shared" si="3"/>
        <v>791620.54</v>
      </c>
      <c r="H29" s="34">
        <f t="shared" si="3"/>
        <v>1504070.6299999997</v>
      </c>
      <c r="I29" s="34">
        <f t="shared" si="3"/>
        <v>1268293.56</v>
      </c>
      <c r="J29" s="34">
        <f t="shared" si="3"/>
        <v>1145894.71</v>
      </c>
      <c r="K29" s="34">
        <f t="shared" si="3"/>
        <v>0</v>
      </c>
      <c r="L29" s="34">
        <f t="shared" si="3"/>
        <v>0</v>
      </c>
      <c r="M29" s="34">
        <f t="shared" si="3"/>
        <v>0</v>
      </c>
      <c r="N29" s="34">
        <f t="shared" si="3"/>
        <v>0</v>
      </c>
      <c r="O29" s="34">
        <f t="shared" si="3"/>
        <v>0</v>
      </c>
      <c r="P29" s="34">
        <f t="shared" si="3"/>
        <v>0</v>
      </c>
      <c r="Q29" s="34">
        <f t="shared" si="3"/>
        <v>0</v>
      </c>
      <c r="R29" s="34">
        <f t="shared" si="3"/>
        <v>5744966.1099999994</v>
      </c>
    </row>
    <row r="31" spans="5:18" ht="24" customHeight="1" x14ac:dyDescent="0.25">
      <c r="E31" s="38" t="s">
        <v>13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</row>
    <row r="32" spans="5:18" x14ac:dyDescent="0.25">
      <c r="E32" s="29" t="s">
        <v>7</v>
      </c>
      <c r="F32" s="30" t="s">
        <v>51</v>
      </c>
      <c r="G32" s="30" t="s">
        <v>52</v>
      </c>
      <c r="H32" s="30" t="s">
        <v>53</v>
      </c>
      <c r="I32" s="30" t="s">
        <v>54</v>
      </c>
      <c r="J32" s="30" t="s">
        <v>55</v>
      </c>
      <c r="K32" s="30" t="s">
        <v>56</v>
      </c>
      <c r="L32" s="30" t="s">
        <v>57</v>
      </c>
      <c r="M32" s="30" t="s">
        <v>58</v>
      </c>
      <c r="N32" s="30" t="s">
        <v>59</v>
      </c>
      <c r="O32" s="30" t="s">
        <v>60</v>
      </c>
      <c r="P32" s="30" t="s">
        <v>61</v>
      </c>
      <c r="Q32" s="30" t="s">
        <v>62</v>
      </c>
      <c r="R32" s="30" t="s">
        <v>63</v>
      </c>
    </row>
    <row r="33" spans="5:18" x14ac:dyDescent="0.25">
      <c r="E33" s="18" t="s">
        <v>18</v>
      </c>
      <c r="F33" s="35">
        <f>IFERROR(SUMIFS(BASE!$L$7:$L$126,BASE!$G$7:$G$126,"JANEIRO",BASE!$H$7:$H$126,$E33)/SUMIFS(BASE!$K$7:$K$126,BASE!$G$7:$G$126,"JANEIRO",BASE!$H$7:$H$126,$E33),"")</f>
        <v>1.1006965568633444</v>
      </c>
      <c r="G33" s="35">
        <f>IFERROR(SUMIFS(BASE!$L$7:$L$126,BASE!$G$7:$G$126,"FEVEREIRO",BASE!$H$7:$H$126,$E33)/SUMIFS(BASE!$K$7:$K$126,BASE!$G$7:$G$126,"FEVEREIRO",BASE!$H$7:$H$126,$E33),"")</f>
        <v>0.68666063722786419</v>
      </c>
      <c r="H33" s="35">
        <f>IFERROR(SUMIFS(BASE!$L$7:$L$126,BASE!$G$7:$G$126,"MARÇO",BASE!$H$7:$H$126,$E33)/SUMIFS(BASE!$K$7:$K$126,BASE!$G$7:$G$126,"MARÇO",BASE!$H$7:$H$126,$E33),"")</f>
        <v>1.0726231333333334</v>
      </c>
      <c r="I33" s="35">
        <f>IFERROR(SUMIFS(BASE!$L$7:$L$126,BASE!$G$7:$G$126,"ABRIL",BASE!$H$7:$H$126,$E33)/SUMIFS(BASE!$K$7:$K$126,BASE!$G$7:$G$126,"ABRIL",BASE!$H$7:$H$126,$E33),"")</f>
        <v>0.88004900000000008</v>
      </c>
      <c r="J33" s="35">
        <f>IFERROR(SUMIFS(BASE!$L$7:$L$126,BASE!$G$7:$G$126,"MAIO",BASE!$H$7:$H$126,$E33)/SUMIFS(BASE!$K$7:$K$126,BASE!$G$7:$G$126,"MAIO",BASE!$H$7:$H$126,$E33),"")</f>
        <v>0.63979610171811896</v>
      </c>
      <c r="K33" s="35" t="str">
        <f>IFERROR(SUMIFS(BASE!$L$7:$L$126,BASE!$G$7:$G$126,"JUNHO",BASE!$H$7:$H$126,$E33)/SUMIFS(BASE!$K$7:$K$126,BASE!$G$7:$G$126,"JUNHO",BASE!$H$7:$H$126,$E33),"")</f>
        <v/>
      </c>
      <c r="L33" s="35" t="str">
        <f>IFERROR(SUMIFS(BASE!$L$7:$L$126,BASE!$G$7:$G$126,"JULHO",BASE!$H$7:$H$126,$E33)/SUMIFS(BASE!$K$7:$K$126,BASE!$G$7:$G$126,"JULHO",BASE!$H$7:$H$126,$E33),"")</f>
        <v/>
      </c>
      <c r="M33" s="35" t="str">
        <f>IFERROR(SUMIFS(BASE!$L$7:$L$126,BASE!$G$7:$G$126,"AGOSTO",BASE!$H$7:$H$126,$E33)/SUMIFS(BASE!$K$7:$K$126,BASE!$G$7:$G$126,"AGOSTO",BASE!$H$7:$H$126,$E33),"")</f>
        <v/>
      </c>
      <c r="N33" s="35" t="str">
        <f>IFERROR(SUMIFS(BASE!$L$7:$L$126,BASE!$G$7:$G$126,"SETEMBRO",BASE!$H$7:$H$126,$E33)/SUMIFS(BASE!$K$7:$K$126,BASE!$G$7:$G$126,"SETEMBRO",BASE!$H$7:$H$126,$E33),"")</f>
        <v/>
      </c>
      <c r="O33" s="35" t="str">
        <f>IFERROR(SUMIFS(BASE!$L$7:$L$126,BASE!$G$7:$G$126,"OUTUBRO",BASE!$H$7:$H$126,$E33)/SUMIFS(BASE!$K$7:$K$126,BASE!$G$7:$G$126,"OUTUBRO",BASE!$H$7:$H$126,$E33),"")</f>
        <v/>
      </c>
      <c r="P33" s="35" t="str">
        <f>IFERROR(SUMIFS(BASE!$L$7:$L$126,BASE!$G$7:$G$126,"NOVEMBRO",BASE!$H$7:$H$126,$E33)/SUMIFS(BASE!$K$7:$K$126,BASE!$G$7:$G$126,"NOVEMBRO",BASE!$H$7:$H$126,$E33),"")</f>
        <v/>
      </c>
      <c r="Q33" s="35" t="str">
        <f>IFERROR(SUMIFS(BASE!$L$7:$L$126,BASE!$G$7:$G$126,"DEZEMBRO",BASE!$H$7:$H$126,$E33)/SUMIFS(BASE!$K$7:$K$126,BASE!$G$7:$G$126,"DEZEMBRO",BASE!$H$7:$H$126,$E33),"")</f>
        <v/>
      </c>
      <c r="R33" s="36">
        <f>IFERROR(SUMIFS(BASE!$L$7:$L$126,BASE!$H$7:$H$126,$E33)/SUMIFS(BASE!$K$7:$K$126,BASE!$H$7:$H$126,$E33),"")</f>
        <v>0.84326598398319541</v>
      </c>
    </row>
    <row r="34" spans="5:18" x14ac:dyDescent="0.25">
      <c r="E34" s="18" t="s">
        <v>19</v>
      </c>
      <c r="F34" s="35" t="str">
        <f>IFERROR(SUMIFS(BASE!$L$7:$L$126,BASE!$G$7:$G$126,"JANEIRO",BASE!$H$7:$H$126,$E34)/SUMIFS(BASE!$K$7:$K$126,BASE!$G$7:$G$126,"JANEIRO",BASE!$H$7:$H$126,$E34),"")</f>
        <v/>
      </c>
      <c r="G34" s="35" t="str">
        <f>IFERROR(SUMIFS(BASE!$L$7:$L$126,BASE!$G$7:$G$126,"FEVEREIRO",BASE!$H$7:$H$126,$E34)/SUMIFS(BASE!$K$7:$K$126,BASE!$G$7:$G$126,"FEVEREIRO",BASE!$H$7:$H$126,$E34),"")</f>
        <v/>
      </c>
      <c r="H34" s="35" t="str">
        <f>IFERROR(SUMIFS(BASE!$L$7:$L$126,BASE!$G$7:$G$126,"MARÇO",BASE!$H$7:$H$126,$E34)/SUMIFS(BASE!$K$7:$K$126,BASE!$G$7:$G$126,"MARÇO",BASE!$H$7:$H$126,$E34),"")</f>
        <v/>
      </c>
      <c r="I34" s="35" t="str">
        <f>IFERROR(SUMIFS(BASE!$L$7:$L$126,BASE!$G$7:$G$126,"ABRIL",BASE!$H$7:$H$126,$E34)/SUMIFS(BASE!$K$7:$K$126,BASE!$G$7:$G$126,"ABRIL",BASE!$H$7:$H$126,$E34),"")</f>
        <v/>
      </c>
      <c r="J34" s="35" t="str">
        <f>IFERROR(SUMIFS(BASE!$L$7:$L$126,BASE!$G$7:$G$126,"MAIO",BASE!$H$7:$H$126,$E34)/SUMIFS(BASE!$K$7:$K$126,BASE!$G$7:$G$126,"MAIO",BASE!$H$7:$H$126,$E34),"")</f>
        <v/>
      </c>
      <c r="K34" s="35" t="str">
        <f>IFERROR(SUMIFS(BASE!$L$7:$L$126,BASE!$G$7:$G$126,"JUNHO",BASE!$H$7:$H$126,$E34)/SUMIFS(BASE!$K$7:$K$126,BASE!$G$7:$G$126,"JUNHO",BASE!$H$7:$H$126,$E34),"")</f>
        <v/>
      </c>
      <c r="L34" s="35" t="str">
        <f>IFERROR(SUMIFS(BASE!$L$7:$L$126,BASE!$G$7:$G$126,"JULHO",BASE!$H$7:$H$126,$E34)/SUMIFS(BASE!$K$7:$K$126,BASE!$G$7:$G$126,"JULHO",BASE!$H$7:$H$126,$E34),"")</f>
        <v/>
      </c>
      <c r="M34" s="35" t="str">
        <f>IFERROR(SUMIFS(BASE!$L$7:$L$126,BASE!$G$7:$G$126,"AGOSTO",BASE!$H$7:$H$126,$E34)/SUMIFS(BASE!$K$7:$K$126,BASE!$G$7:$G$126,"AGOSTO",BASE!$H$7:$H$126,$E34),"")</f>
        <v/>
      </c>
      <c r="N34" s="35" t="str">
        <f>IFERROR(SUMIFS(BASE!$L$7:$L$126,BASE!$G$7:$G$126,"SETEMBRO",BASE!$H$7:$H$126,$E34)/SUMIFS(BASE!$K$7:$K$126,BASE!$G$7:$G$126,"SETEMBRO",BASE!$H$7:$H$126,$E34),"")</f>
        <v/>
      </c>
      <c r="O34" s="35" t="str">
        <f>IFERROR(SUMIFS(BASE!$L$7:$L$126,BASE!$G$7:$G$126,"OUTUBRO",BASE!$H$7:$H$126,$E34)/SUMIFS(BASE!$K$7:$K$126,BASE!$G$7:$G$126,"OUTUBRO",BASE!$H$7:$H$126,$E34),"")</f>
        <v/>
      </c>
      <c r="P34" s="35" t="str">
        <f>IFERROR(SUMIFS(BASE!$L$7:$L$126,BASE!$G$7:$G$126,"NOVEMBRO",BASE!$H$7:$H$126,$E34)/SUMIFS(BASE!$K$7:$K$126,BASE!$G$7:$G$126,"NOVEMBRO",BASE!$H$7:$H$126,$E34),"")</f>
        <v/>
      </c>
      <c r="Q34" s="35" t="str">
        <f>IFERROR(SUMIFS(BASE!$L$7:$L$126,BASE!$G$7:$G$126,"DEZEMBRO",BASE!$H$7:$H$126,$E34)/SUMIFS(BASE!$K$7:$K$126,BASE!$G$7:$G$126,"DEZEMBRO",BASE!$H$7:$H$126,$E34),"")</f>
        <v/>
      </c>
      <c r="R34" s="36" t="str">
        <f>IFERROR(SUMIFS(BASE!$L$7:$L$126,BASE!$H$7:$H$126,$E34)/SUMIFS(BASE!$K$7:$K$126,BASE!$H$7:$H$126,$E34),"")</f>
        <v/>
      </c>
    </row>
    <row r="35" spans="5:18" x14ac:dyDescent="0.25">
      <c r="E35" s="18" t="s">
        <v>20</v>
      </c>
      <c r="F35" s="35">
        <f>IFERROR(SUMIFS(BASE!$L$7:$L$126,BASE!$G$7:$G$126,"JANEIRO",BASE!$H$7:$H$126,$E35)/SUMIFS(BASE!$K$7:$K$126,BASE!$G$7:$G$126,"JANEIRO",BASE!$H$7:$H$126,$E35),"")</f>
        <v>0.84521550000000001</v>
      </c>
      <c r="G35" s="35">
        <f>IFERROR(SUMIFS(BASE!$L$7:$L$126,BASE!$G$7:$G$126,"FEVEREIRO",BASE!$H$7:$H$126,$E35)/SUMIFS(BASE!$K$7:$K$126,BASE!$G$7:$G$126,"FEVEREIRO",BASE!$H$7:$H$126,$E35),"")</f>
        <v>0.70862233333333324</v>
      </c>
      <c r="H35" s="35">
        <f>IFERROR(SUMIFS(BASE!$L$7:$L$126,BASE!$G$7:$G$126,"MARÇO",BASE!$H$7:$H$126,$E35)/SUMIFS(BASE!$K$7:$K$126,BASE!$G$7:$G$126,"MARÇO",BASE!$H$7:$H$126,$E35),"")</f>
        <v>1.0455491538461539</v>
      </c>
      <c r="I35" s="35">
        <f>IFERROR(SUMIFS(BASE!$L$7:$L$126,BASE!$G$7:$G$126,"ABRIL",BASE!$H$7:$H$126,$E35)/SUMIFS(BASE!$K$7:$K$126,BASE!$G$7:$G$126,"ABRIL",BASE!$H$7:$H$126,$E35),"")</f>
        <v>1.0260672354288294</v>
      </c>
      <c r="J35" s="35">
        <f>IFERROR(SUMIFS(BASE!$L$7:$L$126,BASE!$G$7:$G$126,"MAIO",BASE!$H$7:$H$126,$E35)/SUMIFS(BASE!$K$7:$K$126,BASE!$G$7:$G$126,"MAIO",BASE!$H$7:$H$126,$E35),"")</f>
        <v>0.57241117752540349</v>
      </c>
      <c r="K35" s="35" t="str">
        <f>IFERROR(SUMIFS(BASE!$L$7:$L$126,BASE!$G$7:$G$126,"JUNHO",BASE!$H$7:$H$126,$E35)/SUMIFS(BASE!$K$7:$K$126,BASE!$G$7:$G$126,"JUNHO",BASE!$H$7:$H$126,$E35),"")</f>
        <v/>
      </c>
      <c r="L35" s="35" t="str">
        <f>IFERROR(SUMIFS(BASE!$L$7:$L$126,BASE!$G$7:$G$126,"JULHO",BASE!$H$7:$H$126,$E35)/SUMIFS(BASE!$K$7:$K$126,BASE!$G$7:$G$126,"JULHO",BASE!$H$7:$H$126,$E35),"")</f>
        <v/>
      </c>
      <c r="M35" s="35" t="str">
        <f>IFERROR(SUMIFS(BASE!$L$7:$L$126,BASE!$G$7:$G$126,"AGOSTO",BASE!$H$7:$H$126,$E35)/SUMIFS(BASE!$K$7:$K$126,BASE!$G$7:$G$126,"AGOSTO",BASE!$H$7:$H$126,$E35),"")</f>
        <v/>
      </c>
      <c r="N35" s="35" t="str">
        <f>IFERROR(SUMIFS(BASE!$L$7:$L$126,BASE!$G$7:$G$126,"SETEMBRO",BASE!$H$7:$H$126,$E35)/SUMIFS(BASE!$K$7:$K$126,BASE!$G$7:$G$126,"SETEMBRO",BASE!$H$7:$H$126,$E35),"")</f>
        <v/>
      </c>
      <c r="O35" s="35" t="str">
        <f>IFERROR(SUMIFS(BASE!$L$7:$L$126,BASE!$G$7:$G$126,"OUTUBRO",BASE!$H$7:$H$126,$E35)/SUMIFS(BASE!$K$7:$K$126,BASE!$G$7:$G$126,"OUTUBRO",BASE!$H$7:$H$126,$E35),"")</f>
        <v/>
      </c>
      <c r="P35" s="35" t="str">
        <f>IFERROR(SUMIFS(BASE!$L$7:$L$126,BASE!$G$7:$G$126,"NOVEMBRO",BASE!$H$7:$H$126,$E35)/SUMIFS(BASE!$K$7:$K$126,BASE!$G$7:$G$126,"NOVEMBRO",BASE!$H$7:$H$126,$E35),"")</f>
        <v/>
      </c>
      <c r="Q35" s="35" t="str">
        <f>IFERROR(SUMIFS(BASE!$L$7:$L$126,BASE!$G$7:$G$126,"DEZEMBRO",BASE!$H$7:$H$126,$E35)/SUMIFS(BASE!$K$7:$K$126,BASE!$G$7:$G$126,"DEZEMBRO",BASE!$H$7:$H$126,$E35),"")</f>
        <v/>
      </c>
      <c r="R35" s="36">
        <f>IFERROR(SUMIFS(BASE!$L$7:$L$126,BASE!$H$7:$H$126,$E35)/SUMIFS(BASE!$K$7:$K$126,BASE!$H$7:$H$126,$E35),"")</f>
        <v>0.82471052997677341</v>
      </c>
    </row>
    <row r="36" spans="5:18" x14ac:dyDescent="0.25">
      <c r="E36" s="18" t="s">
        <v>21</v>
      </c>
      <c r="F36" s="35">
        <f>IFERROR(SUMIFS(BASE!$L$7:$L$126,BASE!$G$7:$G$126,"JANEIRO",BASE!$H$7:$H$126,$E36)/SUMIFS(BASE!$K$7:$K$126,BASE!$G$7:$G$126,"JANEIRO",BASE!$H$7:$H$126,$E36),"")</f>
        <v>0.86885512702694689</v>
      </c>
      <c r="G36" s="35">
        <f>IFERROR(SUMIFS(BASE!$L$7:$L$126,BASE!$G$7:$G$126,"FEVEREIRO",BASE!$H$7:$H$126,$E36)/SUMIFS(BASE!$K$7:$K$126,BASE!$G$7:$G$126,"FEVEREIRO",BASE!$H$7:$H$126,$E36),"")</f>
        <v>0.56260881818181818</v>
      </c>
      <c r="H36" s="35">
        <f>IFERROR(SUMIFS(BASE!$L$7:$L$126,BASE!$G$7:$G$126,"MARÇO",BASE!$H$7:$H$126,$E36)/SUMIFS(BASE!$K$7:$K$126,BASE!$G$7:$G$126,"MARÇO",BASE!$H$7:$H$126,$E36),"")</f>
        <v>1.0721231062612564</v>
      </c>
      <c r="I36" s="35">
        <f>IFERROR(SUMIFS(BASE!$L$7:$L$126,BASE!$G$7:$G$126,"ABRIL",BASE!$H$7:$H$126,$E36)/SUMIFS(BASE!$K$7:$K$126,BASE!$G$7:$G$126,"ABRIL",BASE!$H$7:$H$126,$E36),"")</f>
        <v>0.87284433333333344</v>
      </c>
      <c r="J36" s="35">
        <f>IFERROR(SUMIFS(BASE!$L$7:$L$126,BASE!$G$7:$G$126,"MAIO",BASE!$H$7:$H$126,$E36)/SUMIFS(BASE!$K$7:$K$126,BASE!$G$7:$G$126,"MAIO",BASE!$H$7:$H$126,$E36),"")</f>
        <v>0.60488991615467158</v>
      </c>
      <c r="K36" s="35" t="str">
        <f>IFERROR(SUMIFS(BASE!$L$7:$L$126,BASE!$G$7:$G$126,"JUNHO",BASE!$H$7:$H$126,$E36)/SUMIFS(BASE!$K$7:$K$126,BASE!$G$7:$G$126,"JUNHO",BASE!$H$7:$H$126,$E36),"")</f>
        <v/>
      </c>
      <c r="L36" s="35" t="str">
        <f>IFERROR(SUMIFS(BASE!$L$7:$L$126,BASE!$G$7:$G$126,"JULHO",BASE!$H$7:$H$126,$E36)/SUMIFS(BASE!$K$7:$K$126,BASE!$G$7:$G$126,"JULHO",BASE!$H$7:$H$126,$E36),"")</f>
        <v/>
      </c>
      <c r="M36" s="35" t="str">
        <f>IFERROR(SUMIFS(BASE!$L$7:$L$126,BASE!$G$7:$G$126,"AGOSTO",BASE!$H$7:$H$126,$E36)/SUMIFS(BASE!$K$7:$K$126,BASE!$G$7:$G$126,"AGOSTO",BASE!$H$7:$H$126,$E36),"")</f>
        <v/>
      </c>
      <c r="N36" s="35" t="str">
        <f>IFERROR(SUMIFS(BASE!$L$7:$L$126,BASE!$G$7:$G$126,"SETEMBRO",BASE!$H$7:$H$126,$E36)/SUMIFS(BASE!$K$7:$K$126,BASE!$G$7:$G$126,"SETEMBRO",BASE!$H$7:$H$126,$E36),"")</f>
        <v/>
      </c>
      <c r="O36" s="35" t="str">
        <f>IFERROR(SUMIFS(BASE!$L$7:$L$126,BASE!$G$7:$G$126,"OUTUBRO",BASE!$H$7:$H$126,$E36)/SUMIFS(BASE!$K$7:$K$126,BASE!$G$7:$G$126,"OUTUBRO",BASE!$H$7:$H$126,$E36),"")</f>
        <v/>
      </c>
      <c r="P36" s="35" t="str">
        <f>IFERROR(SUMIFS(BASE!$L$7:$L$126,BASE!$G$7:$G$126,"NOVEMBRO",BASE!$H$7:$H$126,$E36)/SUMIFS(BASE!$K$7:$K$126,BASE!$G$7:$G$126,"NOVEMBRO",BASE!$H$7:$H$126,$E36),"")</f>
        <v/>
      </c>
      <c r="Q36" s="35" t="str">
        <f>IFERROR(SUMIFS(BASE!$L$7:$L$126,BASE!$G$7:$G$126,"DEZEMBRO",BASE!$H$7:$H$126,$E36)/SUMIFS(BASE!$K$7:$K$126,BASE!$G$7:$G$126,"DEZEMBRO",BASE!$H$7:$H$126,$E36),"")</f>
        <v/>
      </c>
      <c r="R36" s="36">
        <f>IFERROR(SUMIFS(BASE!$L$7:$L$126,BASE!$H$7:$H$126,$E36)/SUMIFS(BASE!$K$7:$K$126,BASE!$H$7:$H$126,$E36),"")</f>
        <v>0.77479491454221294</v>
      </c>
    </row>
    <row r="37" spans="5:18" x14ac:dyDescent="0.25">
      <c r="E37" s="18" t="s">
        <v>22</v>
      </c>
      <c r="F37" s="35">
        <f>IFERROR(SUMIFS(BASE!$L$7:$L$126,BASE!$G$7:$G$126,"JANEIRO",BASE!$H$7:$H$126,$E37)/SUMIFS(BASE!$K$7:$K$126,BASE!$G$7:$G$126,"JANEIRO",BASE!$H$7:$H$126,$E37),"")</f>
        <v>0.62132594801044472</v>
      </c>
      <c r="G37" s="35">
        <f>IFERROR(SUMIFS(BASE!$L$7:$L$126,BASE!$G$7:$G$126,"FEVEREIRO",BASE!$H$7:$H$126,$E37)/SUMIFS(BASE!$K$7:$K$126,BASE!$G$7:$G$126,"FEVEREIRO",BASE!$H$7:$H$126,$E37),"")</f>
        <v>0.59934683544303802</v>
      </c>
      <c r="H37" s="35">
        <f>IFERROR(SUMIFS(BASE!$L$7:$L$126,BASE!$G$7:$G$126,"MARÇO",BASE!$H$7:$H$126,$E37)/SUMIFS(BASE!$K$7:$K$126,BASE!$G$7:$G$126,"MARÇO",BASE!$H$7:$H$126,$E37),"")</f>
        <v>1.3635264516129033</v>
      </c>
      <c r="I37" s="35">
        <f>IFERROR(SUMIFS(BASE!$L$7:$L$126,BASE!$G$7:$G$126,"ABRIL",BASE!$H$7:$H$126,$E37)/SUMIFS(BASE!$K$7:$K$126,BASE!$G$7:$G$126,"ABRIL",BASE!$H$7:$H$126,$E37),"")</f>
        <v>0.78838305555555566</v>
      </c>
      <c r="J37" s="35">
        <f>IFERROR(SUMIFS(BASE!$L$7:$L$126,BASE!$G$7:$G$126,"MAIO",BASE!$H$7:$H$126,$E37)/SUMIFS(BASE!$K$7:$K$126,BASE!$G$7:$G$126,"MAIO",BASE!$H$7:$H$126,$E37),"")</f>
        <v>0.6141620000000001</v>
      </c>
      <c r="K37" s="35" t="str">
        <f>IFERROR(SUMIFS(BASE!$L$7:$L$126,BASE!$G$7:$G$126,"JUNHO",BASE!$H$7:$H$126,$E37)/SUMIFS(BASE!$K$7:$K$126,BASE!$G$7:$G$126,"JUNHO",BASE!$H$7:$H$126,$E37),"")</f>
        <v/>
      </c>
      <c r="L37" s="35" t="str">
        <f>IFERROR(SUMIFS(BASE!$L$7:$L$126,BASE!$G$7:$G$126,"JULHO",BASE!$H$7:$H$126,$E37)/SUMIFS(BASE!$K$7:$K$126,BASE!$G$7:$G$126,"JULHO",BASE!$H$7:$H$126,$E37),"")</f>
        <v/>
      </c>
      <c r="M37" s="35" t="str">
        <f>IFERROR(SUMIFS(BASE!$L$7:$L$126,BASE!$G$7:$G$126,"AGOSTO",BASE!$H$7:$H$126,$E37)/SUMIFS(BASE!$K$7:$K$126,BASE!$G$7:$G$126,"AGOSTO",BASE!$H$7:$H$126,$E37),"")</f>
        <v/>
      </c>
      <c r="N37" s="35" t="str">
        <f>IFERROR(SUMIFS(BASE!$L$7:$L$126,BASE!$G$7:$G$126,"SETEMBRO",BASE!$H$7:$H$126,$E37)/SUMIFS(BASE!$K$7:$K$126,BASE!$G$7:$G$126,"SETEMBRO",BASE!$H$7:$H$126,$E37),"")</f>
        <v/>
      </c>
      <c r="O37" s="35" t="str">
        <f>IFERROR(SUMIFS(BASE!$L$7:$L$126,BASE!$G$7:$G$126,"OUTUBRO",BASE!$H$7:$H$126,$E37)/SUMIFS(BASE!$K$7:$K$126,BASE!$G$7:$G$126,"OUTUBRO",BASE!$H$7:$H$126,$E37),"")</f>
        <v/>
      </c>
      <c r="P37" s="35" t="str">
        <f>IFERROR(SUMIFS(BASE!$L$7:$L$126,BASE!$G$7:$G$126,"NOVEMBRO",BASE!$H$7:$H$126,$E37)/SUMIFS(BASE!$K$7:$K$126,BASE!$G$7:$G$126,"NOVEMBRO",BASE!$H$7:$H$126,$E37),"")</f>
        <v/>
      </c>
      <c r="Q37" s="35" t="str">
        <f>IFERROR(SUMIFS(BASE!$L$7:$L$126,BASE!$G$7:$G$126,"DEZEMBRO",BASE!$H$7:$H$126,$E37)/SUMIFS(BASE!$K$7:$K$126,BASE!$G$7:$G$126,"DEZEMBRO",BASE!$H$7:$H$126,$E37),"")</f>
        <v/>
      </c>
      <c r="R37" s="36">
        <f>IFERROR(SUMIFS(BASE!$L$7:$L$126,BASE!$H$7:$H$126,$E37)/SUMIFS(BASE!$K$7:$K$126,BASE!$H$7:$H$126,$E37),"")</f>
        <v>0.77385438083705038</v>
      </c>
    </row>
    <row r="38" spans="5:18" x14ac:dyDescent="0.25">
      <c r="E38" s="18" t="s">
        <v>23</v>
      </c>
      <c r="F38" s="35">
        <f>IFERROR(SUMIFS(BASE!$L$7:$L$126,BASE!$G$7:$G$126,"JANEIRO",BASE!$H$7:$H$126,$E38)/SUMIFS(BASE!$K$7:$K$126,BASE!$G$7:$G$126,"JANEIRO",BASE!$H$7:$H$126,$E38),"")</f>
        <v>0.72952845454545456</v>
      </c>
      <c r="G38" s="35">
        <f>IFERROR(SUMIFS(BASE!$L$7:$L$126,BASE!$G$7:$G$126,"FEVEREIRO",BASE!$H$7:$H$126,$E38)/SUMIFS(BASE!$K$7:$K$126,BASE!$G$7:$G$126,"FEVEREIRO",BASE!$H$7:$H$126,$E38),"")</f>
        <v>0.55491590476190478</v>
      </c>
      <c r="H38" s="35">
        <f>IFERROR(SUMIFS(BASE!$L$7:$L$126,BASE!$G$7:$G$126,"MARÇO",BASE!$H$7:$H$126,$E38)/SUMIFS(BASE!$K$7:$K$126,BASE!$G$7:$G$126,"MARÇO",BASE!$H$7:$H$126,$E38),"")</f>
        <v>1.3899433564063028</v>
      </c>
      <c r="I38" s="35">
        <f>IFERROR(SUMIFS(BASE!$L$7:$L$126,BASE!$G$7:$G$126,"ABRIL",BASE!$H$7:$H$126,$E38)/SUMIFS(BASE!$K$7:$K$126,BASE!$G$7:$G$126,"ABRIL",BASE!$H$7:$H$126,$E38),"")</f>
        <v>0.80691999999999997</v>
      </c>
      <c r="J38" s="35">
        <f>IFERROR(SUMIFS(BASE!$L$7:$L$126,BASE!$G$7:$G$126,"MAIO",BASE!$H$7:$H$126,$E38)/SUMIFS(BASE!$K$7:$K$126,BASE!$G$7:$G$126,"MAIO",BASE!$H$7:$H$126,$E38),"")</f>
        <v>0.60126408280229771</v>
      </c>
      <c r="K38" s="35" t="str">
        <f>IFERROR(SUMIFS(BASE!$L$7:$L$126,BASE!$G$7:$G$126,"JUNHO",BASE!$H$7:$H$126,$E38)/SUMIFS(BASE!$K$7:$K$126,BASE!$G$7:$G$126,"JUNHO",BASE!$H$7:$H$126,$E38),"")</f>
        <v/>
      </c>
      <c r="L38" s="35" t="str">
        <f>IFERROR(SUMIFS(BASE!$L$7:$L$126,BASE!$G$7:$G$126,"JULHO",BASE!$H$7:$H$126,$E38)/SUMIFS(BASE!$K$7:$K$126,BASE!$G$7:$G$126,"JULHO",BASE!$H$7:$H$126,$E38),"")</f>
        <v/>
      </c>
      <c r="M38" s="35" t="str">
        <f>IFERROR(SUMIFS(BASE!$L$7:$L$126,BASE!$G$7:$G$126,"AGOSTO",BASE!$H$7:$H$126,$E38)/SUMIFS(BASE!$K$7:$K$126,BASE!$G$7:$G$126,"AGOSTO",BASE!$H$7:$H$126,$E38),"")</f>
        <v/>
      </c>
      <c r="N38" s="35" t="str">
        <f>IFERROR(SUMIFS(BASE!$L$7:$L$126,BASE!$G$7:$G$126,"SETEMBRO",BASE!$H$7:$H$126,$E38)/SUMIFS(BASE!$K$7:$K$126,BASE!$G$7:$G$126,"SETEMBRO",BASE!$H$7:$H$126,$E38),"")</f>
        <v/>
      </c>
      <c r="O38" s="35" t="str">
        <f>IFERROR(SUMIFS(BASE!$L$7:$L$126,BASE!$G$7:$G$126,"OUTUBRO",BASE!$H$7:$H$126,$E38)/SUMIFS(BASE!$K$7:$K$126,BASE!$G$7:$G$126,"OUTUBRO",BASE!$H$7:$H$126,$E38),"")</f>
        <v/>
      </c>
      <c r="P38" s="35" t="str">
        <f>IFERROR(SUMIFS(BASE!$L$7:$L$126,BASE!$G$7:$G$126,"NOVEMBRO",BASE!$H$7:$H$126,$E38)/SUMIFS(BASE!$K$7:$K$126,BASE!$G$7:$G$126,"NOVEMBRO",BASE!$H$7:$H$126,$E38),"")</f>
        <v/>
      </c>
      <c r="Q38" s="35" t="str">
        <f>IFERROR(SUMIFS(BASE!$L$7:$L$126,BASE!$G$7:$G$126,"DEZEMBRO",BASE!$H$7:$H$126,$E38)/SUMIFS(BASE!$K$7:$K$126,BASE!$G$7:$G$126,"DEZEMBRO",BASE!$H$7:$H$126,$E38),"")</f>
        <v/>
      </c>
      <c r="R38" s="36">
        <f>IFERROR(SUMIFS(BASE!$L$7:$L$126,BASE!$H$7:$H$126,$E38)/SUMIFS(BASE!$K$7:$K$126,BASE!$H$7:$H$126,$E38),"")</f>
        <v>0.78412634621579491</v>
      </c>
    </row>
    <row r="39" spans="5:18" x14ac:dyDescent="0.25">
      <c r="E39" s="18" t="s">
        <v>24</v>
      </c>
      <c r="F39" s="35">
        <f>IFERROR(SUMIFS(BASE!$L$7:$L$126,BASE!$G$7:$G$126,"JANEIRO",BASE!$H$7:$H$126,$E39)/SUMIFS(BASE!$K$7:$K$126,BASE!$G$7:$G$126,"JANEIRO",BASE!$H$7:$H$126,$E39),"")</f>
        <v>0.74487611111111118</v>
      </c>
      <c r="G39" s="35">
        <f>IFERROR(SUMIFS(BASE!$L$7:$L$126,BASE!$G$7:$G$126,"FEVEREIRO",BASE!$H$7:$H$126,$E39)/SUMIFS(BASE!$K$7:$K$126,BASE!$G$7:$G$126,"FEVEREIRO",BASE!$H$7:$H$126,$E39),"")</f>
        <v>0.63872309523809523</v>
      </c>
      <c r="H39" s="35">
        <f>IFERROR(SUMIFS(BASE!$L$7:$L$126,BASE!$G$7:$G$126,"MARÇO",BASE!$H$7:$H$126,$E39)/SUMIFS(BASE!$K$7:$K$126,BASE!$G$7:$G$126,"MARÇO",BASE!$H$7:$H$126,$E39),"")</f>
        <v>1.0660642222222223</v>
      </c>
      <c r="I39" s="35">
        <f>IFERROR(SUMIFS(BASE!$L$7:$L$126,BASE!$G$7:$G$126,"ABRIL",BASE!$H$7:$H$126,$E39)/SUMIFS(BASE!$K$7:$K$126,BASE!$G$7:$G$126,"ABRIL",BASE!$H$7:$H$126,$E39),"")</f>
        <v>0.93532764855215722</v>
      </c>
      <c r="J39" s="35">
        <f>IFERROR(SUMIFS(BASE!$L$7:$L$126,BASE!$G$7:$G$126,"MAIO",BASE!$H$7:$H$126,$E39)/SUMIFS(BASE!$K$7:$K$126,BASE!$G$7:$G$126,"MAIO",BASE!$H$7:$H$126,$E39),"")</f>
        <v>0.56583490000000003</v>
      </c>
      <c r="K39" s="35" t="str">
        <f>IFERROR(SUMIFS(BASE!$L$7:$L$126,BASE!$G$7:$G$126,"JUNHO",BASE!$H$7:$H$126,$E39)/SUMIFS(BASE!$K$7:$K$126,BASE!$G$7:$G$126,"JUNHO",BASE!$H$7:$H$126,$E39),"")</f>
        <v/>
      </c>
      <c r="L39" s="35" t="str">
        <f>IFERROR(SUMIFS(BASE!$L$7:$L$126,BASE!$G$7:$G$126,"JULHO",BASE!$H$7:$H$126,$E39)/SUMIFS(BASE!$K$7:$K$126,BASE!$G$7:$G$126,"JULHO",BASE!$H$7:$H$126,$E39),"")</f>
        <v/>
      </c>
      <c r="M39" s="35" t="str">
        <f>IFERROR(SUMIFS(BASE!$L$7:$L$126,BASE!$G$7:$G$126,"AGOSTO",BASE!$H$7:$H$126,$E39)/SUMIFS(BASE!$K$7:$K$126,BASE!$G$7:$G$126,"AGOSTO",BASE!$H$7:$H$126,$E39),"")</f>
        <v/>
      </c>
      <c r="N39" s="35" t="str">
        <f>IFERROR(SUMIFS(BASE!$L$7:$L$126,BASE!$G$7:$G$126,"SETEMBRO",BASE!$H$7:$H$126,$E39)/SUMIFS(BASE!$K$7:$K$126,BASE!$G$7:$G$126,"SETEMBRO",BASE!$H$7:$H$126,$E39),"")</f>
        <v/>
      </c>
      <c r="O39" s="35" t="str">
        <f>IFERROR(SUMIFS(BASE!$L$7:$L$126,BASE!$G$7:$G$126,"OUTUBRO",BASE!$H$7:$H$126,$E39)/SUMIFS(BASE!$K$7:$K$126,BASE!$G$7:$G$126,"OUTUBRO",BASE!$H$7:$H$126,$E39),"")</f>
        <v/>
      </c>
      <c r="P39" s="35" t="str">
        <f>IFERROR(SUMIFS(BASE!$L$7:$L$126,BASE!$G$7:$G$126,"NOVEMBRO",BASE!$H$7:$H$126,$E39)/SUMIFS(BASE!$K$7:$K$126,BASE!$G$7:$G$126,"NOVEMBRO",BASE!$H$7:$H$126,$E39),"")</f>
        <v/>
      </c>
      <c r="Q39" s="35" t="str">
        <f>IFERROR(SUMIFS(BASE!$L$7:$L$126,BASE!$G$7:$G$126,"DEZEMBRO",BASE!$H$7:$H$126,$E39)/SUMIFS(BASE!$K$7:$K$126,BASE!$G$7:$G$126,"DEZEMBRO",BASE!$H$7:$H$126,$E39),"")</f>
        <v/>
      </c>
      <c r="R39" s="36">
        <f>IFERROR(SUMIFS(BASE!$L$7:$L$126,BASE!$H$7:$H$126,$E39)/SUMIFS(BASE!$K$7:$K$126,BASE!$H$7:$H$126,$E39),"")</f>
        <v>0.78632304008527409</v>
      </c>
    </row>
    <row r="40" spans="5:18" x14ac:dyDescent="0.25">
      <c r="E40" s="18" t="s">
        <v>25</v>
      </c>
      <c r="F40" s="35">
        <f>IFERROR(SUMIFS(BASE!$L$7:$L$126,BASE!$G$7:$G$126,"JANEIRO",BASE!$H$7:$H$126,$E40)/SUMIFS(BASE!$K$7:$K$126,BASE!$G$7:$G$126,"JANEIRO",BASE!$H$7:$H$126,$E40),"")</f>
        <v>0.95447100396394358</v>
      </c>
      <c r="G40" s="35">
        <f>IFERROR(SUMIFS(BASE!$L$7:$L$126,BASE!$G$7:$G$126,"FEVEREIRO",BASE!$H$7:$H$126,$E40)/SUMIFS(BASE!$K$7:$K$126,BASE!$G$7:$G$126,"FEVEREIRO",BASE!$H$7:$H$126,$E40),"")</f>
        <v>0.6237503030303031</v>
      </c>
      <c r="H40" s="35">
        <f>IFERROR(SUMIFS(BASE!$L$7:$L$126,BASE!$G$7:$G$126,"MARÇO",BASE!$H$7:$H$126,$E40)/SUMIFS(BASE!$K$7:$K$126,BASE!$G$7:$G$126,"MARÇO",BASE!$H$7:$H$126,$E40),"")</f>
        <v>1.2370351164007325</v>
      </c>
      <c r="I40" s="35">
        <f>IFERROR(SUMIFS(BASE!$L$7:$L$126,BASE!$G$7:$G$126,"ABRIL",BASE!$H$7:$H$126,$E40)/SUMIFS(BASE!$K$7:$K$126,BASE!$G$7:$G$126,"ABRIL",BASE!$H$7:$H$126,$E40),"")</f>
        <v>1.0314064866192283</v>
      </c>
      <c r="J40" s="35">
        <f>IFERROR(SUMIFS(BASE!$L$7:$L$126,BASE!$G$7:$G$126,"MAIO",BASE!$H$7:$H$126,$E40)/SUMIFS(BASE!$K$7:$K$126,BASE!$G$7:$G$126,"MAIO",BASE!$H$7:$H$126,$E40),"")</f>
        <v>0.62303747777263796</v>
      </c>
      <c r="K40" s="35" t="str">
        <f>IFERROR(SUMIFS(BASE!$L$7:$L$126,BASE!$G$7:$G$126,"JUNHO",BASE!$H$7:$H$126,$E40)/SUMIFS(BASE!$K$7:$K$126,BASE!$G$7:$G$126,"JUNHO",BASE!$H$7:$H$126,$E40),"")</f>
        <v/>
      </c>
      <c r="L40" s="35" t="str">
        <f>IFERROR(SUMIFS(BASE!$L$7:$L$126,BASE!$G$7:$G$126,"JULHO",BASE!$H$7:$H$126,$E40)/SUMIFS(BASE!$K$7:$K$126,BASE!$G$7:$G$126,"JULHO",BASE!$H$7:$H$126,$E40),"")</f>
        <v/>
      </c>
      <c r="M40" s="35" t="str">
        <f>IFERROR(SUMIFS(BASE!$L$7:$L$126,BASE!$G$7:$G$126,"AGOSTO",BASE!$H$7:$H$126,$E40)/SUMIFS(BASE!$K$7:$K$126,BASE!$G$7:$G$126,"AGOSTO",BASE!$H$7:$H$126,$E40),"")</f>
        <v/>
      </c>
      <c r="N40" s="35" t="str">
        <f>IFERROR(SUMIFS(BASE!$L$7:$L$126,BASE!$G$7:$G$126,"SETEMBRO",BASE!$H$7:$H$126,$E40)/SUMIFS(BASE!$K$7:$K$126,BASE!$G$7:$G$126,"SETEMBRO",BASE!$H$7:$H$126,$E40),"")</f>
        <v/>
      </c>
      <c r="O40" s="35" t="str">
        <f>IFERROR(SUMIFS(BASE!$L$7:$L$126,BASE!$G$7:$G$126,"OUTUBRO",BASE!$H$7:$H$126,$E40)/SUMIFS(BASE!$K$7:$K$126,BASE!$G$7:$G$126,"OUTUBRO",BASE!$H$7:$H$126,$E40),"")</f>
        <v/>
      </c>
      <c r="P40" s="35" t="str">
        <f>IFERROR(SUMIFS(BASE!$L$7:$L$126,BASE!$G$7:$G$126,"NOVEMBRO",BASE!$H$7:$H$126,$E40)/SUMIFS(BASE!$K$7:$K$126,BASE!$G$7:$G$126,"NOVEMBRO",BASE!$H$7:$H$126,$E40),"")</f>
        <v/>
      </c>
      <c r="Q40" s="35" t="str">
        <f>IFERROR(SUMIFS(BASE!$L$7:$L$126,BASE!$G$7:$G$126,"DEZEMBRO",BASE!$H$7:$H$126,$E40)/SUMIFS(BASE!$K$7:$K$126,BASE!$G$7:$G$126,"DEZEMBRO",BASE!$H$7:$H$126,$E40),"")</f>
        <v/>
      </c>
      <c r="R40" s="36">
        <f>IFERROR(SUMIFS(BASE!$L$7:$L$126,BASE!$H$7:$H$126,$E40)/SUMIFS(BASE!$K$7:$K$126,BASE!$H$7:$H$126,$E40),"")</f>
        <v>0.86640404681656591</v>
      </c>
    </row>
    <row r="41" spans="5:18" x14ac:dyDescent="0.25">
      <c r="E41" s="18" t="s">
        <v>26</v>
      </c>
      <c r="F41" s="35">
        <f>IFERROR(SUMIFS(BASE!$L$7:$L$126,BASE!$G$7:$G$126,"JANEIRO",BASE!$H$7:$H$126,$E41)/SUMIFS(BASE!$K$7:$K$126,BASE!$G$7:$G$126,"JANEIRO",BASE!$H$7:$H$126,$E41),"")</f>
        <v>0.84425216666666658</v>
      </c>
      <c r="G41" s="35">
        <f>IFERROR(SUMIFS(BASE!$L$7:$L$126,BASE!$G$7:$G$126,"FEVEREIRO",BASE!$H$7:$H$126,$E41)/SUMIFS(BASE!$K$7:$K$126,BASE!$G$7:$G$126,"FEVEREIRO",BASE!$H$7:$H$126,$E41),"")</f>
        <v>0.61138724137931033</v>
      </c>
      <c r="H41" s="35">
        <f>IFERROR(SUMIFS(BASE!$L$7:$L$126,BASE!$G$7:$G$126,"MARÇO",BASE!$H$7:$H$126,$E41)/SUMIFS(BASE!$K$7:$K$126,BASE!$G$7:$G$126,"MARÇO",BASE!$H$7:$H$126,$E41),"")</f>
        <v>1.0709992903225807</v>
      </c>
      <c r="I41" s="35">
        <f>IFERROR(SUMIFS(BASE!$L$7:$L$126,BASE!$G$7:$G$126,"ABRIL",BASE!$H$7:$H$126,$E41)/SUMIFS(BASE!$K$7:$K$126,BASE!$G$7:$G$126,"ABRIL",BASE!$H$7:$H$126,$E41),"")</f>
        <v>0.96311920000000006</v>
      </c>
      <c r="J41" s="35">
        <f>IFERROR(SUMIFS(BASE!$L$7:$L$126,BASE!$G$7:$G$126,"MAIO",BASE!$H$7:$H$126,$E41)/SUMIFS(BASE!$K$7:$K$126,BASE!$G$7:$G$126,"MAIO",BASE!$H$7:$H$126,$E41),"")</f>
        <v>0.77418894444444453</v>
      </c>
      <c r="K41" s="35" t="str">
        <f>IFERROR(SUMIFS(BASE!$L$7:$L$126,BASE!$G$7:$G$126,"JUNHO",BASE!$H$7:$H$126,$E41)/SUMIFS(BASE!$K$7:$K$126,BASE!$G$7:$G$126,"JUNHO",BASE!$H$7:$H$126,$E41),"")</f>
        <v/>
      </c>
      <c r="L41" s="35" t="str">
        <f>IFERROR(SUMIFS(BASE!$L$7:$L$126,BASE!$G$7:$G$126,"JULHO",BASE!$H$7:$H$126,$E41)/SUMIFS(BASE!$K$7:$K$126,BASE!$G$7:$G$126,"JULHO",BASE!$H$7:$H$126,$E41),"")</f>
        <v/>
      </c>
      <c r="M41" s="35" t="str">
        <f>IFERROR(SUMIFS(BASE!$L$7:$L$126,BASE!$G$7:$G$126,"AGOSTO",BASE!$H$7:$H$126,$E41)/SUMIFS(BASE!$K$7:$K$126,BASE!$G$7:$G$126,"AGOSTO",BASE!$H$7:$H$126,$E41),"")</f>
        <v/>
      </c>
      <c r="N41" s="35" t="str">
        <f>IFERROR(SUMIFS(BASE!$L$7:$L$126,BASE!$G$7:$G$126,"SETEMBRO",BASE!$H$7:$H$126,$E41)/SUMIFS(BASE!$K$7:$K$126,BASE!$G$7:$G$126,"SETEMBRO",BASE!$H$7:$H$126,$E41),"")</f>
        <v/>
      </c>
      <c r="O41" s="35" t="str">
        <f>IFERROR(SUMIFS(BASE!$L$7:$L$126,BASE!$G$7:$G$126,"OUTUBRO",BASE!$H$7:$H$126,$E41)/SUMIFS(BASE!$K$7:$K$126,BASE!$G$7:$G$126,"OUTUBRO",BASE!$H$7:$H$126,$E41),"")</f>
        <v/>
      </c>
      <c r="P41" s="35" t="str">
        <f>IFERROR(SUMIFS(BASE!$L$7:$L$126,BASE!$G$7:$G$126,"NOVEMBRO",BASE!$H$7:$H$126,$E41)/SUMIFS(BASE!$K$7:$K$126,BASE!$G$7:$G$126,"NOVEMBRO",BASE!$H$7:$H$126,$E41),"")</f>
        <v/>
      </c>
      <c r="Q41" s="35" t="str">
        <f>IFERROR(SUMIFS(BASE!$L$7:$L$126,BASE!$G$7:$G$126,"DEZEMBRO",BASE!$H$7:$H$126,$E41)/SUMIFS(BASE!$K$7:$K$126,BASE!$G$7:$G$126,"DEZEMBRO",BASE!$H$7:$H$126,$E41),"")</f>
        <v/>
      </c>
      <c r="R41" s="36">
        <f>IFERROR(SUMIFS(BASE!$L$7:$L$126,BASE!$H$7:$H$126,$E41)/SUMIFS(BASE!$K$7:$K$126,BASE!$H$7:$H$126,$E41),"")</f>
        <v>0.85305091999999993</v>
      </c>
    </row>
    <row r="42" spans="5:18" x14ac:dyDescent="0.25">
      <c r="E42" s="18" t="s">
        <v>27</v>
      </c>
      <c r="F42" s="35">
        <f>IFERROR(SUMIFS(BASE!$L$7:$L$126,BASE!$G$7:$G$126,"JANEIRO",BASE!$H$7:$H$126,$E42)/SUMIFS(BASE!$K$7:$K$126,BASE!$G$7:$G$126,"JANEIRO",BASE!$H$7:$H$126,$E42),"")</f>
        <v>1.0858680714285713</v>
      </c>
      <c r="G42" s="35">
        <f>IFERROR(SUMIFS(BASE!$L$7:$L$126,BASE!$G$7:$G$126,"FEVEREIRO",BASE!$H$7:$H$126,$E42)/SUMIFS(BASE!$K$7:$K$126,BASE!$G$7:$G$126,"FEVEREIRO",BASE!$H$7:$H$126,$E42),"")</f>
        <v>0.7360967346938776</v>
      </c>
      <c r="H42" s="35">
        <f>IFERROR(SUMIFS(BASE!$L$7:$L$126,BASE!$G$7:$G$126,"MARÇO",BASE!$H$7:$H$126,$E42)/SUMIFS(BASE!$K$7:$K$126,BASE!$G$7:$G$126,"MARÇO",BASE!$H$7:$H$126,$E42),"")</f>
        <v>1.2562847999617894</v>
      </c>
      <c r="I42" s="35">
        <f>IFERROR(SUMIFS(BASE!$L$7:$L$126,BASE!$G$7:$G$126,"ABRIL",BASE!$H$7:$H$126,$E42)/SUMIFS(BASE!$K$7:$K$126,BASE!$G$7:$G$126,"ABRIL",BASE!$H$7:$H$126,$E42),"")</f>
        <v>1.0369452549440474</v>
      </c>
      <c r="J42" s="35">
        <f>IFERROR(SUMIFS(BASE!$L$7:$L$126,BASE!$G$7:$G$126,"MAIO",BASE!$H$7:$H$126,$E42)/SUMIFS(BASE!$K$7:$K$126,BASE!$G$7:$G$126,"MAIO",BASE!$H$7:$H$126,$E42),"")</f>
        <v>0.63735294117647057</v>
      </c>
      <c r="K42" s="35" t="str">
        <f>IFERROR(SUMIFS(BASE!$L$7:$L$126,BASE!$G$7:$G$126,"JUNHO",BASE!$H$7:$H$126,$E42)/SUMIFS(BASE!$K$7:$K$126,BASE!$G$7:$G$126,"JUNHO",BASE!$H$7:$H$126,$E42),"")</f>
        <v/>
      </c>
      <c r="L42" s="35" t="str">
        <f>IFERROR(SUMIFS(BASE!$L$7:$L$126,BASE!$G$7:$G$126,"JULHO",BASE!$H$7:$H$126,$E42)/SUMIFS(BASE!$K$7:$K$126,BASE!$G$7:$G$126,"JULHO",BASE!$H$7:$H$126,$E42),"")</f>
        <v/>
      </c>
      <c r="M42" s="35" t="str">
        <f>IFERROR(SUMIFS(BASE!$L$7:$L$126,BASE!$G$7:$G$126,"AGOSTO",BASE!$H$7:$H$126,$E42)/SUMIFS(BASE!$K$7:$K$126,BASE!$G$7:$G$126,"AGOSTO",BASE!$H$7:$H$126,$E42),"")</f>
        <v/>
      </c>
      <c r="N42" s="35" t="str">
        <f>IFERROR(SUMIFS(BASE!$L$7:$L$126,BASE!$G$7:$G$126,"SETEMBRO",BASE!$H$7:$H$126,$E42)/SUMIFS(BASE!$K$7:$K$126,BASE!$G$7:$G$126,"SETEMBRO",BASE!$H$7:$H$126,$E42),"")</f>
        <v/>
      </c>
      <c r="O42" s="35" t="str">
        <f>IFERROR(SUMIFS(BASE!$L$7:$L$126,BASE!$G$7:$G$126,"OUTUBRO",BASE!$H$7:$H$126,$E42)/SUMIFS(BASE!$K$7:$K$126,BASE!$G$7:$G$126,"OUTUBRO",BASE!$H$7:$H$126,$E42),"")</f>
        <v/>
      </c>
      <c r="P42" s="35" t="str">
        <f>IFERROR(SUMIFS(BASE!$L$7:$L$126,BASE!$G$7:$G$126,"NOVEMBRO",BASE!$H$7:$H$126,$E42)/SUMIFS(BASE!$K$7:$K$126,BASE!$G$7:$G$126,"NOVEMBRO",BASE!$H$7:$H$126,$E42),"")</f>
        <v/>
      </c>
      <c r="Q42" s="35" t="str">
        <f>IFERROR(SUMIFS(BASE!$L$7:$L$126,BASE!$G$7:$G$126,"DEZEMBRO",BASE!$H$7:$H$126,$E42)/SUMIFS(BASE!$K$7:$K$126,BASE!$G$7:$G$126,"DEZEMBRO",BASE!$H$7:$H$126,$E42),"")</f>
        <v/>
      </c>
      <c r="R42" s="36">
        <f>IFERROR(SUMIFS(BASE!$L$7:$L$126,BASE!$H$7:$H$126,$E42)/SUMIFS(BASE!$K$7:$K$126,BASE!$H$7:$H$126,$E42),"")</f>
        <v>0.91702454500841357</v>
      </c>
    </row>
    <row r="43" spans="5:18" x14ac:dyDescent="0.25">
      <c r="E43" s="33" t="s">
        <v>28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</row>
  </sheetData>
  <mergeCells count="4">
    <mergeCell ref="E1:R1"/>
    <mergeCell ref="E3:R3"/>
    <mergeCell ref="E17:R17"/>
    <mergeCell ref="E31:R31"/>
  </mergeCells>
  <conditionalFormatting sqref="F33:R42">
    <cfRule type="cellIs" dxfId="1" priority="2" operator="greaterThanOrEqual">
      <formula>1</formula>
    </cfRule>
    <cfRule type="cellIs" dxfId="0" priority="3" operator="lessThan">
      <formula>0.85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PAINEL</vt:lpstr>
      <vt:lpstr>BASE</vt:lpstr>
      <vt:lpstr>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washington oliveira</cp:lastModifiedBy>
  <cp:revision>0</cp:revision>
  <dcterms:created xsi:type="dcterms:W3CDTF">2026-08-02T17:26:59Z</dcterms:created>
  <dcterms:modified xsi:type="dcterms:W3CDTF">2026-08-02T17:54:41Z</dcterms:modified>
  <dc:language>en-US</dc:language>
</cp:coreProperties>
</file>