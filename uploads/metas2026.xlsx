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7f9f5b2820fdb7/Desktop/LAYANE 2026/"/>
    </mc:Choice>
  </mc:AlternateContent>
  <xr:revisionPtr revIDLastSave="842" documentId="14_{0C97672F-2090-41E9-8532-90E1F4D8AB66}" xr6:coauthVersionLast="47" xr6:coauthVersionMax="47" xr10:uidLastSave="{F1E740A2-15FD-4394-8F16-AD9150EAF473}"/>
  <bookViews>
    <workbookView xWindow="-108" yWindow="-108" windowWidth="23256" windowHeight="12456" activeTab="7" xr2:uid="{78991737-6917-4BBC-82E5-473D82339335}"/>
  </bookViews>
  <sheets>
    <sheet name="JANEIRO" sheetId="1" r:id="rId1"/>
    <sheet name="FEVEREIRO" sheetId="3" r:id="rId2"/>
    <sheet name="MARÇO" sheetId="5" r:id="rId3"/>
    <sheet name="ABRIL" sheetId="6" r:id="rId4"/>
    <sheet name="MAIO" sheetId="7" r:id="rId5"/>
    <sheet name="JUNHO" sheetId="8" r:id="rId6"/>
    <sheet name="JULHO" sheetId="9" r:id="rId7"/>
    <sheet name="AGOSTO" sheetId="10" r:id="rId8"/>
  </sheets>
  <definedNames>
    <definedName name="_xlnm._FilterDatabase" localSheetId="3" hidden="1">ABRIL!$A$29:$Q$42</definedName>
    <definedName name="_xlnm._FilterDatabase" localSheetId="1" hidden="1">FEVEREIRO!$A$1:$M$14</definedName>
    <definedName name="_xlnm._FilterDatabase" localSheetId="0" hidden="1">JANEIRO!$A$29:$Q$42</definedName>
    <definedName name="_xlnm._FilterDatabase" localSheetId="5" hidden="1">JUNHO!$A$29:$Q$42</definedName>
    <definedName name="_xlnm._FilterDatabase" localSheetId="4" hidden="1">MAIO!$A$29:$Q$42</definedName>
    <definedName name="_xlnm._FilterDatabase" localSheetId="2" hidden="1">MARÇO!$A$29:$Q$42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0" l="1"/>
  <c r="C40" i="10"/>
  <c r="C42" i="10" s="1"/>
  <c r="K39" i="10"/>
  <c r="G39" i="10"/>
  <c r="H39" i="10" s="1"/>
  <c r="E39" i="10"/>
  <c r="I39" i="10" s="1"/>
  <c r="J39" i="10" s="1"/>
  <c r="D39" i="10"/>
  <c r="M38" i="10"/>
  <c r="H38" i="10"/>
  <c r="G38" i="10"/>
  <c r="E38" i="10"/>
  <c r="K38" i="10" s="1"/>
  <c r="L38" i="10" s="1"/>
  <c r="D38" i="10"/>
  <c r="M37" i="10"/>
  <c r="G37" i="10"/>
  <c r="H37" i="10" s="1"/>
  <c r="E37" i="10"/>
  <c r="K37" i="10" s="1"/>
  <c r="L37" i="10" s="1"/>
  <c r="D37" i="10"/>
  <c r="I37" i="10" s="1"/>
  <c r="J37" i="10" s="1"/>
  <c r="M36" i="10"/>
  <c r="G36" i="10"/>
  <c r="H36" i="10" s="1"/>
  <c r="E36" i="10"/>
  <c r="K36" i="10" s="1"/>
  <c r="L36" i="10" s="1"/>
  <c r="D36" i="10"/>
  <c r="I36" i="10" s="1"/>
  <c r="J36" i="10" s="1"/>
  <c r="M35" i="10"/>
  <c r="H35" i="10"/>
  <c r="G35" i="10"/>
  <c r="E35" i="10"/>
  <c r="K35" i="10" s="1"/>
  <c r="D35" i="10"/>
  <c r="I35" i="10" s="1"/>
  <c r="M34" i="10"/>
  <c r="I34" i="10"/>
  <c r="J34" i="10" s="1"/>
  <c r="G34" i="10"/>
  <c r="H34" i="10" s="1"/>
  <c r="E34" i="10"/>
  <c r="K34" i="10" s="1"/>
  <c r="L34" i="10" s="1"/>
  <c r="D34" i="10"/>
  <c r="M33" i="10"/>
  <c r="K33" i="10"/>
  <c r="L33" i="10" s="1"/>
  <c r="I33" i="10"/>
  <c r="J33" i="10" s="1"/>
  <c r="G33" i="10"/>
  <c r="H33" i="10" s="1"/>
  <c r="E33" i="10"/>
  <c r="D33" i="10"/>
  <c r="M32" i="10"/>
  <c r="K32" i="10"/>
  <c r="L32" i="10" s="1"/>
  <c r="G32" i="10"/>
  <c r="H32" i="10" s="1"/>
  <c r="E32" i="10"/>
  <c r="D32" i="10"/>
  <c r="I32" i="10" s="1"/>
  <c r="J32" i="10" s="1"/>
  <c r="M31" i="10"/>
  <c r="G31" i="10"/>
  <c r="H31" i="10" s="1"/>
  <c r="E31" i="10"/>
  <c r="D31" i="10"/>
  <c r="M30" i="10"/>
  <c r="G30" i="10"/>
  <c r="H30" i="10" s="1"/>
  <c r="E30" i="10"/>
  <c r="K30" i="10" s="1"/>
  <c r="L30" i="10" s="1"/>
  <c r="D30" i="10"/>
  <c r="I30" i="10" s="1"/>
  <c r="J30" i="10" s="1"/>
  <c r="E14" i="10"/>
  <c r="E17" i="10" s="1"/>
  <c r="D14" i="10"/>
  <c r="C14" i="10"/>
  <c r="H13" i="10"/>
  <c r="G13" i="10"/>
  <c r="H12" i="10"/>
  <c r="G12" i="10"/>
  <c r="J11" i="10"/>
  <c r="I11" i="10"/>
  <c r="H11" i="10"/>
  <c r="G11" i="10"/>
  <c r="J10" i="10"/>
  <c r="I10" i="10"/>
  <c r="H10" i="10"/>
  <c r="G10" i="10"/>
  <c r="J9" i="10"/>
  <c r="I9" i="10"/>
  <c r="H9" i="10"/>
  <c r="G9" i="10"/>
  <c r="J8" i="10"/>
  <c r="I8" i="10"/>
  <c r="H8" i="10"/>
  <c r="G8" i="10"/>
  <c r="J7" i="10"/>
  <c r="I7" i="10"/>
  <c r="H7" i="10"/>
  <c r="G7" i="10"/>
  <c r="J6" i="10"/>
  <c r="I6" i="10"/>
  <c r="H6" i="10"/>
  <c r="G6" i="10"/>
  <c r="N5" i="10"/>
  <c r="M5" i="10"/>
  <c r="J5" i="10"/>
  <c r="I5" i="10"/>
  <c r="H5" i="10"/>
  <c r="G5" i="10"/>
  <c r="F5" i="10"/>
  <c r="F14" i="10" s="1"/>
  <c r="F17" i="10" s="1"/>
  <c r="J4" i="10"/>
  <c r="I4" i="10"/>
  <c r="H4" i="10"/>
  <c r="G4" i="10"/>
  <c r="F41" i="8"/>
  <c r="C40" i="8"/>
  <c r="C42" i="8" s="1"/>
  <c r="K39" i="8"/>
  <c r="E39" i="8"/>
  <c r="I39" i="8" s="1"/>
  <c r="J39" i="8" s="1"/>
  <c r="D39" i="8"/>
  <c r="G39" i="8" s="1"/>
  <c r="H39" i="8" s="1"/>
  <c r="M36" i="8"/>
  <c r="G36" i="8"/>
  <c r="H36" i="8" s="1"/>
  <c r="E36" i="8"/>
  <c r="K36" i="8" s="1"/>
  <c r="L36" i="8" s="1"/>
  <c r="D36" i="8"/>
  <c r="I36" i="8" s="1"/>
  <c r="J36" i="8" s="1"/>
  <c r="M35" i="8"/>
  <c r="G35" i="8"/>
  <c r="H35" i="8" s="1"/>
  <c r="E35" i="8"/>
  <c r="K35" i="8" s="1"/>
  <c r="L35" i="8" s="1"/>
  <c r="D35" i="8"/>
  <c r="I35" i="8" s="1"/>
  <c r="J35" i="8" s="1"/>
  <c r="M37" i="8"/>
  <c r="G37" i="8"/>
  <c r="H37" i="8" s="1"/>
  <c r="E37" i="8"/>
  <c r="K37" i="8" s="1"/>
  <c r="L37" i="8" s="1"/>
  <c r="D37" i="8"/>
  <c r="I37" i="8" s="1"/>
  <c r="J37" i="8" s="1"/>
  <c r="M32" i="8"/>
  <c r="G32" i="8"/>
  <c r="H32" i="8" s="1"/>
  <c r="E32" i="8"/>
  <c r="K32" i="8" s="1"/>
  <c r="D32" i="8"/>
  <c r="I32" i="8" s="1"/>
  <c r="M33" i="8"/>
  <c r="G33" i="8"/>
  <c r="H33" i="8" s="1"/>
  <c r="E33" i="8"/>
  <c r="K33" i="8" s="1"/>
  <c r="L33" i="8" s="1"/>
  <c r="D33" i="8"/>
  <c r="I33" i="8" s="1"/>
  <c r="J33" i="8" s="1"/>
  <c r="M31" i="8"/>
  <c r="G31" i="8"/>
  <c r="H31" i="8" s="1"/>
  <c r="E31" i="8"/>
  <c r="K31" i="8" s="1"/>
  <c r="L31" i="8" s="1"/>
  <c r="D31" i="8"/>
  <c r="I31" i="8" s="1"/>
  <c r="J31" i="8" s="1"/>
  <c r="M38" i="8"/>
  <c r="G38" i="8"/>
  <c r="H38" i="8" s="1"/>
  <c r="E38" i="8"/>
  <c r="K38" i="8" s="1"/>
  <c r="L38" i="8" s="1"/>
  <c r="D38" i="8"/>
  <c r="I38" i="8" s="1"/>
  <c r="J38" i="8" s="1"/>
  <c r="M34" i="8"/>
  <c r="G34" i="8"/>
  <c r="H34" i="8" s="1"/>
  <c r="E34" i="8"/>
  <c r="D34" i="8"/>
  <c r="M30" i="8"/>
  <c r="G30" i="8"/>
  <c r="H30" i="8" s="1"/>
  <c r="E30" i="8"/>
  <c r="K30" i="8" s="1"/>
  <c r="L30" i="8" s="1"/>
  <c r="D30" i="8"/>
  <c r="I30" i="8" s="1"/>
  <c r="J30" i="8" s="1"/>
  <c r="E14" i="8"/>
  <c r="E17" i="8" s="1"/>
  <c r="D14" i="8"/>
  <c r="H14" i="8" s="1"/>
  <c r="C14" i="8"/>
  <c r="H13" i="8"/>
  <c r="G13" i="8"/>
  <c r="H12" i="8"/>
  <c r="G12" i="8"/>
  <c r="J11" i="8"/>
  <c r="I11" i="8"/>
  <c r="H11" i="8"/>
  <c r="G11" i="8"/>
  <c r="J10" i="8"/>
  <c r="I10" i="8"/>
  <c r="H10" i="8"/>
  <c r="G10" i="8"/>
  <c r="J9" i="8"/>
  <c r="I9" i="8"/>
  <c r="H9" i="8"/>
  <c r="G9" i="8"/>
  <c r="J8" i="8"/>
  <c r="I8" i="8"/>
  <c r="H8" i="8"/>
  <c r="G8" i="8"/>
  <c r="J7" i="8"/>
  <c r="I7" i="8"/>
  <c r="H7" i="8"/>
  <c r="G7" i="8"/>
  <c r="J6" i="8"/>
  <c r="I6" i="8"/>
  <c r="H6" i="8"/>
  <c r="G6" i="8"/>
  <c r="N5" i="8"/>
  <c r="M5" i="8"/>
  <c r="J5" i="8"/>
  <c r="J14" i="8" s="1"/>
  <c r="I5" i="8"/>
  <c r="H5" i="8"/>
  <c r="G5" i="8"/>
  <c r="F14" i="8"/>
  <c r="F17" i="8" s="1"/>
  <c r="J4" i="8"/>
  <c r="I4" i="8"/>
  <c r="H4" i="8"/>
  <c r="G4" i="8"/>
  <c r="G14" i="8" s="1"/>
  <c r="G17" i="8" s="1"/>
  <c r="F41" i="7"/>
  <c r="C40" i="7"/>
  <c r="K39" i="7"/>
  <c r="E39" i="7"/>
  <c r="I39" i="7" s="1"/>
  <c r="J39" i="7" s="1"/>
  <c r="D39" i="7"/>
  <c r="G39" i="7" s="1"/>
  <c r="H39" i="7" s="1"/>
  <c r="M36" i="7"/>
  <c r="G36" i="7"/>
  <c r="H36" i="7" s="1"/>
  <c r="E36" i="7"/>
  <c r="K36" i="7" s="1"/>
  <c r="L36" i="7" s="1"/>
  <c r="D36" i="7"/>
  <c r="I36" i="7" s="1"/>
  <c r="J36" i="7" s="1"/>
  <c r="M34" i="7"/>
  <c r="G34" i="7"/>
  <c r="H34" i="7" s="1"/>
  <c r="E34" i="7"/>
  <c r="K34" i="7" s="1"/>
  <c r="L34" i="7" s="1"/>
  <c r="D34" i="7"/>
  <c r="I34" i="7" s="1"/>
  <c r="J34" i="7" s="1"/>
  <c r="M31" i="7"/>
  <c r="G31" i="7"/>
  <c r="H31" i="7" s="1"/>
  <c r="E31" i="7"/>
  <c r="K31" i="7" s="1"/>
  <c r="L31" i="7" s="1"/>
  <c r="D31" i="7"/>
  <c r="I31" i="7" s="1"/>
  <c r="J31" i="7" s="1"/>
  <c r="M35" i="7"/>
  <c r="G35" i="7"/>
  <c r="H35" i="7" s="1"/>
  <c r="E35" i="7"/>
  <c r="K35" i="7" s="1"/>
  <c r="L35" i="7" s="1"/>
  <c r="D35" i="7"/>
  <c r="I35" i="7" s="1"/>
  <c r="J35" i="7" s="1"/>
  <c r="M30" i="7"/>
  <c r="G30" i="7"/>
  <c r="H30" i="7" s="1"/>
  <c r="E30" i="7"/>
  <c r="K30" i="7" s="1"/>
  <c r="D30" i="7"/>
  <c r="I30" i="7" s="1"/>
  <c r="M38" i="7"/>
  <c r="G38" i="7"/>
  <c r="H38" i="7" s="1"/>
  <c r="E38" i="7"/>
  <c r="K38" i="7" s="1"/>
  <c r="L38" i="7" s="1"/>
  <c r="D38" i="7"/>
  <c r="I38" i="7" s="1"/>
  <c r="J38" i="7" s="1"/>
  <c r="M33" i="7"/>
  <c r="G33" i="7"/>
  <c r="H33" i="7" s="1"/>
  <c r="E33" i="7"/>
  <c r="K33" i="7" s="1"/>
  <c r="L33" i="7" s="1"/>
  <c r="D33" i="7"/>
  <c r="I33" i="7" s="1"/>
  <c r="J33" i="7" s="1"/>
  <c r="M37" i="7"/>
  <c r="I37" i="7"/>
  <c r="J37" i="7" s="1"/>
  <c r="G37" i="7"/>
  <c r="H37" i="7" s="1"/>
  <c r="E37" i="7"/>
  <c r="K37" i="7" s="1"/>
  <c r="L37" i="7" s="1"/>
  <c r="M32" i="7"/>
  <c r="G32" i="7"/>
  <c r="H32" i="7" s="1"/>
  <c r="E32" i="7"/>
  <c r="D32" i="7"/>
  <c r="E14" i="7"/>
  <c r="E17" i="7" s="1"/>
  <c r="D14" i="7"/>
  <c r="C14" i="7"/>
  <c r="H13" i="7"/>
  <c r="G13" i="7"/>
  <c r="H12" i="7"/>
  <c r="G12" i="7"/>
  <c r="J11" i="7"/>
  <c r="I11" i="7"/>
  <c r="H11" i="7"/>
  <c r="G11" i="7"/>
  <c r="J10" i="7"/>
  <c r="I10" i="7"/>
  <c r="H10" i="7"/>
  <c r="G10" i="7"/>
  <c r="J9" i="7"/>
  <c r="I9" i="7"/>
  <c r="H9" i="7"/>
  <c r="G9" i="7"/>
  <c r="J8" i="7"/>
  <c r="I8" i="7"/>
  <c r="H8" i="7"/>
  <c r="G8" i="7"/>
  <c r="J7" i="7"/>
  <c r="I7" i="7"/>
  <c r="H7" i="7"/>
  <c r="G7" i="7"/>
  <c r="J6" i="7"/>
  <c r="I6" i="7"/>
  <c r="H6" i="7"/>
  <c r="G6" i="7"/>
  <c r="N5" i="7"/>
  <c r="M5" i="7"/>
  <c r="J5" i="7"/>
  <c r="I5" i="7"/>
  <c r="H5" i="7"/>
  <c r="G5" i="7"/>
  <c r="F5" i="7"/>
  <c r="F14" i="7" s="1"/>
  <c r="F17" i="7" s="1"/>
  <c r="J4" i="7"/>
  <c r="J14" i="7" s="1"/>
  <c r="I4" i="7"/>
  <c r="H4" i="7"/>
  <c r="G4" i="7"/>
  <c r="D30" i="6"/>
  <c r="E30" i="6"/>
  <c r="K30" i="6" s="1"/>
  <c r="L30" i="6" s="1"/>
  <c r="G30" i="6"/>
  <c r="H30" i="6" s="1"/>
  <c r="M30" i="6"/>
  <c r="D34" i="6"/>
  <c r="I34" i="6" s="1"/>
  <c r="J34" i="6" s="1"/>
  <c r="E34" i="6"/>
  <c r="K34" i="6" s="1"/>
  <c r="L34" i="6" s="1"/>
  <c r="G34" i="6"/>
  <c r="H34" i="6" s="1"/>
  <c r="M34" i="6"/>
  <c r="D38" i="6"/>
  <c r="E38" i="6"/>
  <c r="G38" i="6"/>
  <c r="H38" i="6" s="1"/>
  <c r="M38" i="6"/>
  <c r="D37" i="6"/>
  <c r="I37" i="6" s="1"/>
  <c r="J37" i="6" s="1"/>
  <c r="E37" i="6"/>
  <c r="G37" i="6"/>
  <c r="H37" i="6" s="1"/>
  <c r="M37" i="6"/>
  <c r="D33" i="6"/>
  <c r="I33" i="6" s="1"/>
  <c r="J33" i="6" s="1"/>
  <c r="E33" i="6"/>
  <c r="K33" i="6" s="1"/>
  <c r="L33" i="6" s="1"/>
  <c r="G33" i="6"/>
  <c r="H33" i="6" s="1"/>
  <c r="M33" i="6"/>
  <c r="D31" i="6"/>
  <c r="I31" i="6" s="1"/>
  <c r="J31" i="6" s="1"/>
  <c r="E31" i="6"/>
  <c r="K31" i="6" s="1"/>
  <c r="L31" i="6" s="1"/>
  <c r="G31" i="6"/>
  <c r="H31" i="6" s="1"/>
  <c r="M31" i="6"/>
  <c r="D35" i="6"/>
  <c r="I35" i="6" s="1"/>
  <c r="E35" i="6"/>
  <c r="K35" i="6" s="1"/>
  <c r="G35" i="6"/>
  <c r="H35" i="6" s="1"/>
  <c r="M35" i="6"/>
  <c r="D36" i="6"/>
  <c r="I36" i="6" s="1"/>
  <c r="J36" i="6" s="1"/>
  <c r="E36" i="6"/>
  <c r="K36" i="6" s="1"/>
  <c r="L36" i="6" s="1"/>
  <c r="G36" i="6"/>
  <c r="H36" i="6" s="1"/>
  <c r="M36" i="6"/>
  <c r="E32" i="6"/>
  <c r="K32" i="6" s="1"/>
  <c r="L32" i="6" s="1"/>
  <c r="G32" i="6"/>
  <c r="H32" i="6" s="1"/>
  <c r="I32" i="6"/>
  <c r="J32" i="6" s="1"/>
  <c r="M32" i="6"/>
  <c r="D40" i="6"/>
  <c r="G40" i="6" s="1"/>
  <c r="H40" i="6" s="1"/>
  <c r="E40" i="6"/>
  <c r="I40" i="6" s="1"/>
  <c r="J40" i="6" s="1"/>
  <c r="K40" i="6"/>
  <c r="C41" i="6"/>
  <c r="F39" i="6"/>
  <c r="G4" i="6"/>
  <c r="H4" i="6"/>
  <c r="I4" i="6"/>
  <c r="J4" i="6"/>
  <c r="F5" i="6"/>
  <c r="F14" i="6" s="1"/>
  <c r="F17" i="6" s="1"/>
  <c r="G5" i="6"/>
  <c r="H5" i="6"/>
  <c r="I5" i="6"/>
  <c r="J5" i="6"/>
  <c r="M5" i="6"/>
  <c r="N5" i="6"/>
  <c r="G6" i="6"/>
  <c r="H6" i="6"/>
  <c r="I6" i="6"/>
  <c r="J6" i="6"/>
  <c r="G7" i="6"/>
  <c r="H7" i="6"/>
  <c r="I7" i="6"/>
  <c r="J7" i="6"/>
  <c r="G8" i="6"/>
  <c r="H8" i="6"/>
  <c r="I8" i="6"/>
  <c r="J8" i="6"/>
  <c r="G9" i="6"/>
  <c r="H9" i="6"/>
  <c r="I9" i="6"/>
  <c r="J9" i="6"/>
  <c r="G10" i="6"/>
  <c r="H10" i="6"/>
  <c r="I10" i="6"/>
  <c r="J10" i="6"/>
  <c r="G11" i="6"/>
  <c r="H11" i="6"/>
  <c r="I11" i="6"/>
  <c r="J11" i="6"/>
  <c r="G12" i="6"/>
  <c r="H12" i="6"/>
  <c r="G13" i="6"/>
  <c r="H13" i="6"/>
  <c r="C14" i="6"/>
  <c r="D14" i="6"/>
  <c r="E14" i="6"/>
  <c r="E17" i="6" s="1"/>
  <c r="F41" i="5"/>
  <c r="C40" i="5"/>
  <c r="K39" i="5"/>
  <c r="E39" i="5"/>
  <c r="I39" i="5" s="1"/>
  <c r="J39" i="5" s="1"/>
  <c r="D39" i="5"/>
  <c r="G39" i="5" s="1"/>
  <c r="H39" i="5" s="1"/>
  <c r="M31" i="5"/>
  <c r="G31" i="5"/>
  <c r="H31" i="5" s="1"/>
  <c r="E31" i="5"/>
  <c r="K31" i="5" s="1"/>
  <c r="L31" i="5" s="1"/>
  <c r="D31" i="5"/>
  <c r="I31" i="5" s="1"/>
  <c r="J31" i="5" s="1"/>
  <c r="M30" i="5"/>
  <c r="G30" i="5"/>
  <c r="H30" i="5" s="1"/>
  <c r="E30" i="5"/>
  <c r="K30" i="5" s="1"/>
  <c r="L30" i="5" s="1"/>
  <c r="D30" i="5"/>
  <c r="I30" i="5" s="1"/>
  <c r="J30" i="5" s="1"/>
  <c r="M37" i="5"/>
  <c r="G37" i="5"/>
  <c r="H37" i="5" s="1"/>
  <c r="E37" i="5"/>
  <c r="K37" i="5" s="1"/>
  <c r="L37" i="5" s="1"/>
  <c r="D37" i="5"/>
  <c r="I37" i="5" s="1"/>
  <c r="J37" i="5" s="1"/>
  <c r="M36" i="5"/>
  <c r="G36" i="5"/>
  <c r="H36" i="5" s="1"/>
  <c r="E36" i="5"/>
  <c r="K36" i="5" s="1"/>
  <c r="D36" i="5"/>
  <c r="I36" i="5" s="1"/>
  <c r="M38" i="5"/>
  <c r="G38" i="5"/>
  <c r="H38" i="5" s="1"/>
  <c r="E38" i="5"/>
  <c r="K38" i="5" s="1"/>
  <c r="L38" i="5" s="1"/>
  <c r="I38" i="5"/>
  <c r="J38" i="5" s="1"/>
  <c r="M35" i="5"/>
  <c r="G35" i="5"/>
  <c r="H35" i="5" s="1"/>
  <c r="E35" i="5"/>
  <c r="K35" i="5" s="1"/>
  <c r="L35" i="5" s="1"/>
  <c r="D35" i="5"/>
  <c r="I35" i="5" s="1"/>
  <c r="J35" i="5" s="1"/>
  <c r="M33" i="5"/>
  <c r="G33" i="5"/>
  <c r="H33" i="5" s="1"/>
  <c r="E33" i="5"/>
  <c r="K33" i="5" s="1"/>
  <c r="L33" i="5" s="1"/>
  <c r="D33" i="5"/>
  <c r="I33" i="5" s="1"/>
  <c r="J33" i="5" s="1"/>
  <c r="M32" i="5"/>
  <c r="G32" i="5"/>
  <c r="H32" i="5" s="1"/>
  <c r="E32" i="5"/>
  <c r="D32" i="5"/>
  <c r="M34" i="5"/>
  <c r="G34" i="5"/>
  <c r="H34" i="5" s="1"/>
  <c r="E34" i="5"/>
  <c r="D34" i="5"/>
  <c r="E14" i="5"/>
  <c r="E17" i="5" s="1"/>
  <c r="D14" i="5"/>
  <c r="C14" i="5"/>
  <c r="H13" i="5"/>
  <c r="G13" i="5"/>
  <c r="H12" i="5"/>
  <c r="G12" i="5"/>
  <c r="J11" i="5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J7" i="5"/>
  <c r="I7" i="5"/>
  <c r="H7" i="5"/>
  <c r="G7" i="5"/>
  <c r="J6" i="5"/>
  <c r="I6" i="5"/>
  <c r="H6" i="5"/>
  <c r="G6" i="5"/>
  <c r="N5" i="5"/>
  <c r="M5" i="5"/>
  <c r="J5" i="5"/>
  <c r="I5" i="5"/>
  <c r="H5" i="5"/>
  <c r="G5" i="5"/>
  <c r="F5" i="5"/>
  <c r="F14" i="5" s="1"/>
  <c r="F17" i="5" s="1"/>
  <c r="J4" i="5"/>
  <c r="J14" i="5" s="1"/>
  <c r="I4" i="5"/>
  <c r="H4" i="5"/>
  <c r="G4" i="5"/>
  <c r="G14" i="5" s="1"/>
  <c r="G17" i="5" s="1"/>
  <c r="F6" i="3"/>
  <c r="C13" i="3"/>
  <c r="K11" i="3"/>
  <c r="I11" i="3"/>
  <c r="J11" i="3" s="1"/>
  <c r="G11" i="3"/>
  <c r="H11" i="3" s="1"/>
  <c r="M9" i="3"/>
  <c r="G9" i="3"/>
  <c r="H9" i="3" s="1"/>
  <c r="E9" i="3"/>
  <c r="K9" i="3" s="1"/>
  <c r="L9" i="3" s="1"/>
  <c r="D9" i="3"/>
  <c r="I9" i="3" s="1"/>
  <c r="J9" i="3" s="1"/>
  <c r="M10" i="3"/>
  <c r="G10" i="3"/>
  <c r="H10" i="3" s="1"/>
  <c r="E10" i="3"/>
  <c r="K10" i="3" s="1"/>
  <c r="L10" i="3" s="1"/>
  <c r="D10" i="3"/>
  <c r="I10" i="3" s="1"/>
  <c r="J10" i="3" s="1"/>
  <c r="M7" i="3"/>
  <c r="G7" i="3"/>
  <c r="H7" i="3" s="1"/>
  <c r="E7" i="3"/>
  <c r="K7" i="3" s="1"/>
  <c r="L7" i="3" s="1"/>
  <c r="D7" i="3"/>
  <c r="I7" i="3" s="1"/>
  <c r="J7" i="3" s="1"/>
  <c r="M8" i="3"/>
  <c r="G8" i="3"/>
  <c r="H8" i="3" s="1"/>
  <c r="E8" i="3"/>
  <c r="K8" i="3" s="1"/>
  <c r="D8" i="3"/>
  <c r="I8" i="3" s="1"/>
  <c r="M3" i="3"/>
  <c r="G3" i="3"/>
  <c r="H3" i="3" s="1"/>
  <c r="E3" i="3"/>
  <c r="K3" i="3" s="1"/>
  <c r="L3" i="3" s="1"/>
  <c r="D3" i="3"/>
  <c r="I3" i="3" s="1"/>
  <c r="J3" i="3" s="1"/>
  <c r="M12" i="3"/>
  <c r="G12" i="3"/>
  <c r="H12" i="3" s="1"/>
  <c r="E12" i="3"/>
  <c r="K12" i="3" s="1"/>
  <c r="L12" i="3" s="1"/>
  <c r="D12" i="3"/>
  <c r="M5" i="3"/>
  <c r="G5" i="3"/>
  <c r="H5" i="3" s="1"/>
  <c r="E5" i="3"/>
  <c r="D5" i="3"/>
  <c r="I5" i="3" s="1"/>
  <c r="J5" i="3" s="1"/>
  <c r="M2" i="3"/>
  <c r="G2" i="3"/>
  <c r="H2" i="3" s="1"/>
  <c r="E2" i="3"/>
  <c r="D2" i="3"/>
  <c r="M4" i="3"/>
  <c r="G4" i="3"/>
  <c r="H4" i="3" s="1"/>
  <c r="E4" i="3"/>
  <c r="K4" i="3" s="1"/>
  <c r="L4" i="3" s="1"/>
  <c r="D4" i="3"/>
  <c r="I4" i="3" s="1"/>
  <c r="J4" i="3" s="1"/>
  <c r="F41" i="1"/>
  <c r="M31" i="1"/>
  <c r="G31" i="1"/>
  <c r="H31" i="1" s="1"/>
  <c r="G32" i="1"/>
  <c r="H32" i="1" s="1"/>
  <c r="C40" i="1"/>
  <c r="D31" i="1"/>
  <c r="E31" i="1"/>
  <c r="E14" i="1"/>
  <c r="E17" i="1" s="1"/>
  <c r="H12" i="1"/>
  <c r="H13" i="1"/>
  <c r="G12" i="1"/>
  <c r="G13" i="1"/>
  <c r="D14" i="1"/>
  <c r="D35" i="1"/>
  <c r="I35" i="1" s="1"/>
  <c r="E35" i="1"/>
  <c r="K35" i="1" s="1"/>
  <c r="G35" i="1"/>
  <c r="H35" i="1" s="1"/>
  <c r="M35" i="1"/>
  <c r="K39" i="1"/>
  <c r="E39" i="1"/>
  <c r="I39" i="1" s="1"/>
  <c r="J39" i="1" s="1"/>
  <c r="D39" i="1"/>
  <c r="G39" i="1" s="1"/>
  <c r="H39" i="1" s="1"/>
  <c r="M38" i="1"/>
  <c r="G38" i="1"/>
  <c r="H38" i="1" s="1"/>
  <c r="E38" i="1"/>
  <c r="K38" i="1" s="1"/>
  <c r="L38" i="1" s="1"/>
  <c r="D38" i="1"/>
  <c r="I38" i="1" s="1"/>
  <c r="J38" i="1" s="1"/>
  <c r="M30" i="1"/>
  <c r="G30" i="1"/>
  <c r="H30" i="1" s="1"/>
  <c r="E30" i="1"/>
  <c r="K30" i="1" s="1"/>
  <c r="L30" i="1" s="1"/>
  <c r="D30" i="1"/>
  <c r="I30" i="1" s="1"/>
  <c r="J30" i="1" s="1"/>
  <c r="M37" i="1"/>
  <c r="G37" i="1"/>
  <c r="H37" i="1" s="1"/>
  <c r="E37" i="1"/>
  <c r="K37" i="1" s="1"/>
  <c r="L37" i="1" s="1"/>
  <c r="D37" i="1"/>
  <c r="I37" i="1" s="1"/>
  <c r="J37" i="1" s="1"/>
  <c r="M36" i="1"/>
  <c r="G36" i="1"/>
  <c r="H36" i="1" s="1"/>
  <c r="E36" i="1"/>
  <c r="K36" i="1" s="1"/>
  <c r="L36" i="1" s="1"/>
  <c r="D36" i="1"/>
  <c r="I36" i="1" s="1"/>
  <c r="J36" i="1" s="1"/>
  <c r="M32" i="1"/>
  <c r="E32" i="1"/>
  <c r="K32" i="1" s="1"/>
  <c r="L32" i="1" s="1"/>
  <c r="D32" i="1"/>
  <c r="I32" i="1" s="1"/>
  <c r="J32" i="1" s="1"/>
  <c r="M34" i="1"/>
  <c r="G34" i="1"/>
  <c r="H34" i="1" s="1"/>
  <c r="E34" i="1"/>
  <c r="K34" i="1" s="1"/>
  <c r="L34" i="1" s="1"/>
  <c r="D34" i="1"/>
  <c r="I34" i="1" s="1"/>
  <c r="J34" i="1" s="1"/>
  <c r="M33" i="1"/>
  <c r="G33" i="1"/>
  <c r="H33" i="1" s="1"/>
  <c r="E33" i="1"/>
  <c r="K33" i="1" s="1"/>
  <c r="L33" i="1" s="1"/>
  <c r="D33" i="1"/>
  <c r="C14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N5" i="1"/>
  <c r="M5" i="1"/>
  <c r="J5" i="1"/>
  <c r="I5" i="1"/>
  <c r="H5" i="1"/>
  <c r="G5" i="1"/>
  <c r="F5" i="1"/>
  <c r="F14" i="1" s="1"/>
  <c r="F17" i="1" s="1"/>
  <c r="J4" i="1"/>
  <c r="I4" i="1"/>
  <c r="H4" i="1"/>
  <c r="G4" i="1"/>
  <c r="L42" i="10" l="1"/>
  <c r="D40" i="10"/>
  <c r="I41" i="10" s="1"/>
  <c r="J41" i="10" s="1"/>
  <c r="E40" i="10"/>
  <c r="K41" i="10" s="1"/>
  <c r="L41" i="10" s="1"/>
  <c r="J14" i="10"/>
  <c r="G14" i="10"/>
  <c r="G17" i="10" s="1"/>
  <c r="I14" i="10"/>
  <c r="I38" i="10"/>
  <c r="J38" i="10" s="1"/>
  <c r="G41" i="10"/>
  <c r="H41" i="10" s="1"/>
  <c r="H14" i="10"/>
  <c r="I14" i="8"/>
  <c r="D40" i="8"/>
  <c r="I41" i="8" s="1"/>
  <c r="J41" i="8" s="1"/>
  <c r="E40" i="8"/>
  <c r="K41" i="8" s="1"/>
  <c r="L41" i="8" s="1"/>
  <c r="L42" i="8"/>
  <c r="G41" i="8"/>
  <c r="H41" i="8" s="1"/>
  <c r="G14" i="7"/>
  <c r="G17" i="7" s="1"/>
  <c r="D40" i="7"/>
  <c r="I41" i="7" s="1"/>
  <c r="J41" i="7" s="1"/>
  <c r="E40" i="7"/>
  <c r="K41" i="7" s="1"/>
  <c r="L41" i="7" s="1"/>
  <c r="I14" i="7"/>
  <c r="H14" i="7"/>
  <c r="C42" i="7"/>
  <c r="G41" i="7"/>
  <c r="H41" i="7" s="1"/>
  <c r="L42" i="7"/>
  <c r="J14" i="6"/>
  <c r="L42" i="6"/>
  <c r="H14" i="6"/>
  <c r="G14" i="6"/>
  <c r="G17" i="6" s="1"/>
  <c r="G39" i="6"/>
  <c r="H39" i="6" s="1"/>
  <c r="I14" i="6"/>
  <c r="C42" i="6"/>
  <c r="E41" i="6"/>
  <c r="K39" i="6" s="1"/>
  <c r="L39" i="6" s="1"/>
  <c r="D41" i="6"/>
  <c r="I39" i="6" s="1"/>
  <c r="J39" i="6" s="1"/>
  <c r="K37" i="6"/>
  <c r="L37" i="6" s="1"/>
  <c r="I30" i="6"/>
  <c r="J30" i="6" s="1"/>
  <c r="I14" i="5"/>
  <c r="H14" i="5"/>
  <c r="D40" i="5"/>
  <c r="I41" i="5" s="1"/>
  <c r="J41" i="5" s="1"/>
  <c r="I34" i="5"/>
  <c r="J34" i="5" s="1"/>
  <c r="E40" i="5"/>
  <c r="K41" i="5" s="1"/>
  <c r="L41" i="5" s="1"/>
  <c r="K34" i="5"/>
  <c r="L34" i="5" s="1"/>
  <c r="C42" i="5"/>
  <c r="G41" i="5"/>
  <c r="H41" i="5" s="1"/>
  <c r="L42" i="5"/>
  <c r="G6" i="3"/>
  <c r="H6" i="3" s="1"/>
  <c r="L14" i="3"/>
  <c r="D13" i="3"/>
  <c r="I6" i="3" s="1"/>
  <c r="J6" i="3" s="1"/>
  <c r="E13" i="3"/>
  <c r="K6" i="3" s="1"/>
  <c r="L6" i="3" s="1"/>
  <c r="I12" i="3"/>
  <c r="J12" i="3" s="1"/>
  <c r="K5" i="3"/>
  <c r="L5" i="3" s="1"/>
  <c r="G41" i="1"/>
  <c r="H41" i="1" s="1"/>
  <c r="C42" i="1"/>
  <c r="E40" i="1"/>
  <c r="K41" i="1" s="1"/>
  <c r="L41" i="1" s="1"/>
  <c r="D40" i="1"/>
  <c r="I41" i="1" s="1"/>
  <c r="J41" i="1" s="1"/>
  <c r="G14" i="1"/>
  <c r="G17" i="1" s="1"/>
  <c r="H14" i="1"/>
  <c r="I14" i="1"/>
  <c r="J14" i="1"/>
  <c r="L42" i="1"/>
  <c r="I33" i="1"/>
  <c r="J33" i="1" s="1"/>
</calcChain>
</file>

<file path=xl/sharedStrings.xml><?xml version="1.0" encoding="utf-8"?>
<sst xmlns="http://schemas.openxmlformats.org/spreadsheetml/2006/main" count="634" uniqueCount="107">
  <si>
    <t>Vendas Lojas JANEIRO/2025</t>
  </si>
  <si>
    <t>COMPARATIVO</t>
  </si>
  <si>
    <t>Loja</t>
  </si>
  <si>
    <t>Vendas Mês JANEIRO/2025</t>
  </si>
  <si>
    <t>Vendas JAN/2024</t>
  </si>
  <si>
    <t>Meta 1</t>
  </si>
  <si>
    <t>Meta 2</t>
  </si>
  <si>
    <t>Desafio</t>
  </si>
  <si>
    <t>Resultado</t>
  </si>
  <si>
    <t>Result %</t>
  </si>
  <si>
    <t>Saldo</t>
  </si>
  <si>
    <t>META NOVEMBRO 2024</t>
  </si>
  <si>
    <t>Itaboraí 2  - 257</t>
  </si>
  <si>
    <t>Meta 3</t>
  </si>
  <si>
    <t>Peso 1</t>
  </si>
  <si>
    <t>Peso 2</t>
  </si>
  <si>
    <t>Peso 3</t>
  </si>
  <si>
    <t>São Gonçalo  - 364</t>
  </si>
  <si>
    <t>Center 4 - 117</t>
  </si>
  <si>
    <t>De 01 a 10/08</t>
  </si>
  <si>
    <t>De 12/08 a 20/08</t>
  </si>
  <si>
    <t>De 21 a 30/08</t>
  </si>
  <si>
    <t>Conceição -109</t>
  </si>
  <si>
    <t>Rio Branco - 363</t>
  </si>
  <si>
    <t>Comissão Vendedoras</t>
  </si>
  <si>
    <t>São José - 236</t>
  </si>
  <si>
    <t>Copa 2 - 165</t>
  </si>
  <si>
    <t>1ª Meta</t>
  </si>
  <si>
    <t xml:space="preserve"> 2ª Meta</t>
  </si>
  <si>
    <t>3ª Meta</t>
  </si>
  <si>
    <t>Tijuca 3 - 157</t>
  </si>
  <si>
    <t>Rodrigo Silva (Franquia) 997</t>
  </si>
  <si>
    <t>Rodo 3 (Franquia) 1017</t>
  </si>
  <si>
    <t>TOTAL GERAL</t>
  </si>
  <si>
    <t xml:space="preserve">Não se conquistam </t>
  </si>
  <si>
    <t xml:space="preserve">Comissão Gerentes </t>
  </si>
  <si>
    <t>coisas novas tendo velhos hábitos.</t>
  </si>
  <si>
    <t>É necessária uma mudança</t>
  </si>
  <si>
    <t>Dias Trabalhados</t>
  </si>
  <si>
    <t>1ª Meta      2ª Meta       3ª Meta</t>
  </si>
  <si>
    <t xml:space="preserve"> de mente.</t>
  </si>
  <si>
    <t>Itaboraí</t>
  </si>
  <si>
    <t xml:space="preserve"> </t>
  </si>
  <si>
    <t xml:space="preserve"> 0,5%         0,7%           1%</t>
  </si>
  <si>
    <t>São Gonçalo</t>
  </si>
  <si>
    <t>Niterói</t>
  </si>
  <si>
    <t>Supere os desafios, bata recordes.</t>
  </si>
  <si>
    <t>Rio de Janeiro</t>
  </si>
  <si>
    <t>São jose</t>
  </si>
  <si>
    <t>META NATURA</t>
  </si>
  <si>
    <t>2024/2025</t>
  </si>
  <si>
    <t>T.M</t>
  </si>
  <si>
    <t>P.A</t>
  </si>
  <si>
    <t>BOM</t>
  </si>
  <si>
    <t>P.M</t>
  </si>
  <si>
    <t>ATENÇÃO</t>
  </si>
  <si>
    <t>%PERF</t>
  </si>
  <si>
    <t>CRÍTICO</t>
  </si>
  <si>
    <t>UNIDADE</t>
  </si>
  <si>
    <t>LOJA</t>
  </si>
  <si>
    <t>META 1</t>
  </si>
  <si>
    <t>META 2</t>
  </si>
  <si>
    <t>META 3</t>
  </si>
  <si>
    <t>VL.LIQUIDO</t>
  </si>
  <si>
    <t>DIARIA MT 1</t>
  </si>
  <si>
    <t>DIARIA MT 2</t>
  </si>
  <si>
    <t>DIARIA MT 3</t>
  </si>
  <si>
    <t xml:space="preserve">%META  </t>
  </si>
  <si>
    <t xml:space="preserve">P.A </t>
  </si>
  <si>
    <t>% PERF</t>
  </si>
  <si>
    <t>META SEMANAL</t>
  </si>
  <si>
    <t>ITABORAI 2</t>
  </si>
  <si>
    <t>ATINGIDO</t>
  </si>
  <si>
    <t>TOTAL</t>
  </si>
  <si>
    <t>RODO 3</t>
  </si>
  <si>
    <t>Center 4 (Franquia) - 117</t>
  </si>
  <si>
    <t>TIJUCA 3</t>
  </si>
  <si>
    <t>Copa 2 (Franquia) 165</t>
  </si>
  <si>
    <t>CONCEIÇÃO</t>
  </si>
  <si>
    <t>Itaboraí 2 (Franquia) - 257</t>
  </si>
  <si>
    <t>CENTER IV</t>
  </si>
  <si>
    <t>Rio Branco 135 (Franquia) - 363</t>
  </si>
  <si>
    <t>RODRIGO SILVA</t>
  </si>
  <si>
    <t>Rua Da Conceição (Franquia) - 109</t>
  </si>
  <si>
    <t>COPA 2</t>
  </si>
  <si>
    <t>SÃO JOSÉ</t>
  </si>
  <si>
    <t>São José (Franquia) - 236</t>
  </si>
  <si>
    <t>RIO BRANCO</t>
  </si>
  <si>
    <t>Tijuca 3 (Franquia) 157</t>
  </si>
  <si>
    <t>SÃO GONÇALO</t>
  </si>
  <si>
    <t>Vendas Lojas MARÇO/2025</t>
  </si>
  <si>
    <t>Vendas Lojas ABRIL/2025</t>
  </si>
  <si>
    <t>LOJAS</t>
  </si>
  <si>
    <t>REALIZADO</t>
  </si>
  <si>
    <t>Rua Da Conceição (Franquia) -109</t>
  </si>
  <si>
    <t> </t>
  </si>
  <si>
    <t>DIA 1 A 7</t>
  </si>
  <si>
    <t>DIA 8 A 14</t>
  </si>
  <si>
    <t>DIA 15 A 21</t>
  </si>
  <si>
    <t>DIA 22 A 30</t>
  </si>
  <si>
    <t>Vendas JAN/2025</t>
  </si>
  <si>
    <t>2025/2026</t>
  </si>
  <si>
    <t>Vendas Mês JUN/2026</t>
  </si>
  <si>
    <t>Vendas JUN/2025</t>
  </si>
  <si>
    <t>Vendas Lojas AGO/2026</t>
  </si>
  <si>
    <t>Vendas Mês AGO/26</t>
  </si>
  <si>
    <t>Vendas AGO/25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</si>
</sst>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&quot;R$&quot;\ #,##0.00"/>
    <numFmt numFmtId="166" formatCode="0.0%"/>
    <numFmt numFmtId="167" formatCode="_-[$R$-416]\ * #,##0.00_-;\-[$R$-416]\ * #,##0.00_-;_-[$R$-416]\ * &quot;-&quot;??_-;_-@_-"/>
  </numFmts>
  <fonts count="47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i/>
      <u/>
      <sz val="14"/>
      <name val="Segoe UI"/>
      <family val="2"/>
    </font>
    <font>
      <b/>
      <i/>
      <u/>
      <sz val="11"/>
      <name val="Arial"/>
      <family val="2"/>
    </font>
    <font>
      <b/>
      <sz val="14"/>
      <color rgb="FF403E3B"/>
      <name val="Segoe UI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8"/>
      <color theme="1"/>
      <name val="Helvetica Now Display"/>
      <family val="2"/>
    </font>
    <font>
      <sz val="12"/>
      <color theme="1"/>
      <name val="Helvetica Now Display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Verdana"/>
      <family val="2"/>
    </font>
    <font>
      <sz val="9"/>
      <name val="Verdana"/>
      <family val="2"/>
    </font>
    <font>
      <sz val="7"/>
      <color rgb="FF292929"/>
      <name val="Arial Nova"/>
      <family val="2"/>
    </font>
    <font>
      <sz val="10"/>
      <color theme="1"/>
      <name val="Aptos Narrow"/>
      <family val="2"/>
    </font>
    <font>
      <b/>
      <sz val="11"/>
      <color theme="1"/>
      <name val="Aptos Display"/>
      <family val="2"/>
      <scheme val="major"/>
    </font>
    <font>
      <b/>
      <sz val="11"/>
      <color rgb="FF292929"/>
      <name val="Aptos Display"/>
      <family val="2"/>
      <scheme val="major"/>
    </font>
    <font>
      <b/>
      <sz val="11"/>
      <name val="Aptos Display"/>
      <family val="2"/>
      <scheme val="major"/>
    </font>
    <font>
      <sz val="10"/>
      <color rgb="FF000000"/>
      <name val="Aptos Narrow"/>
      <family val="2"/>
    </font>
    <font>
      <sz val="12"/>
      <color rgb="FF000000"/>
      <name val="Times New Roman"/>
      <family val="1"/>
    </font>
    <font>
      <b/>
      <sz val="11"/>
      <color theme="1"/>
      <name val="Arial"/>
    </font>
    <font>
      <sz val="11"/>
      <color theme="1"/>
      <name val="Arial"/>
    </font>
    <font>
      <b/>
      <i/>
      <u/>
      <sz val="14"/>
      <name val="Segoe UI"/>
    </font>
    <font>
      <b/>
      <i/>
      <u/>
      <sz val="11"/>
      <name val="Arial"/>
    </font>
    <font>
      <b/>
      <sz val="14"/>
      <color rgb="FF403E3B"/>
      <name val="Segoe UI"/>
    </font>
    <font>
      <b/>
      <sz val="11"/>
      <color rgb="FFFF0000"/>
      <name val="Arial"/>
    </font>
    <font>
      <b/>
      <sz val="11"/>
      <name val="Arial"/>
    </font>
    <font>
      <sz val="18"/>
      <color theme="1"/>
      <name val="Helvetica Now Display"/>
    </font>
    <font>
      <sz val="11"/>
      <name val="Arial"/>
    </font>
    <font>
      <sz val="10"/>
      <color rgb="FF000000"/>
      <name val="Aptos Narrow"/>
    </font>
    <font>
      <sz val="12"/>
      <color theme="1"/>
      <name val="Helvetica Now Display"/>
    </font>
    <font>
      <sz val="11"/>
      <color rgb="FF000000"/>
      <name val="Arial"/>
    </font>
    <font>
      <sz val="11"/>
      <color rgb="FFFF0000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Arial"/>
    </font>
    <font>
      <sz val="12"/>
      <color rgb="FF000000"/>
      <name val="Calibri"/>
      <family val="2"/>
    </font>
    <font>
      <sz val="12"/>
      <color rgb="FF000000"/>
      <name val="Aptos Display"/>
      <scheme val="major"/>
    </font>
    <font>
      <b/>
      <sz val="12"/>
      <color theme="1"/>
      <name val="Aptos Narrow"/>
      <family val="2"/>
      <scheme val="minor"/>
    </font>
    <font>
      <b/>
      <sz val="12"/>
      <color rgb="FF292929"/>
      <name val="Aptos Narrow"/>
      <family val="2"/>
      <scheme val="minor"/>
    </font>
    <font>
      <b/>
      <sz val="12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F7CAA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140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9D9D9"/>
        <bgColor rgb="FF000000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3" borderId="0" xfId="0" applyFill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8" borderId="4" xfId="0" applyNumberFormat="1" applyFont="1" applyFill="1" applyBorder="1" applyAlignment="1">
      <alignment horizontal="center" vertical="center"/>
    </xf>
    <xf numFmtId="4" fontId="4" fillId="10" borderId="6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9" fontId="5" fillId="10" borderId="6" xfId="0" applyNumberFormat="1" applyFont="1" applyFill="1" applyBorder="1" applyAlignment="1">
      <alignment horizontal="center"/>
    </xf>
    <xf numFmtId="9" fontId="5" fillId="11" borderId="6" xfId="0" applyNumberFormat="1" applyFont="1" applyFill="1" applyBorder="1" applyAlignment="1">
      <alignment horizontal="center"/>
    </xf>
    <xf numFmtId="9" fontId="5" fillId="12" borderId="6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2" fontId="6" fillId="10" borderId="0" xfId="0" applyNumberFormat="1" applyFont="1" applyFill="1"/>
    <xf numFmtId="0" fontId="6" fillId="11" borderId="0" xfId="0" applyFont="1" applyFill="1"/>
    <xf numFmtId="0" fontId="6" fillId="12" borderId="0" xfId="0" applyFont="1" applyFill="1"/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5" fontId="5" fillId="0" borderId="0" xfId="0" applyNumberFormat="1" applyFont="1"/>
    <xf numFmtId="166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66" fontId="7" fillId="0" borderId="9" xfId="0" applyNumberFormat="1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4" fontId="8" fillId="0" borderId="6" xfId="0" applyNumberFormat="1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44" fontId="0" fillId="0" borderId="0" xfId="0" applyNumberFormat="1"/>
    <xf numFmtId="0" fontId="4" fillId="14" borderId="12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11" fillId="16" borderId="0" xfId="0" applyFont="1" applyFill="1"/>
    <xf numFmtId="0" fontId="0" fillId="16" borderId="0" xfId="0" applyFill="1"/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right"/>
    </xf>
    <xf numFmtId="2" fontId="5" fillId="17" borderId="6" xfId="0" applyNumberFormat="1" applyFont="1" applyFill="1" applyBorder="1" applyAlignment="1">
      <alignment horizontal="left"/>
    </xf>
    <xf numFmtId="0" fontId="4" fillId="14" borderId="17" xfId="0" applyFont="1" applyFill="1" applyBorder="1" applyAlignment="1">
      <alignment horizontal="center" vertical="center"/>
    </xf>
    <xf numFmtId="0" fontId="0" fillId="12" borderId="0" xfId="0" applyFill="1"/>
    <xf numFmtId="0" fontId="5" fillId="0" borderId="0" xfId="0" applyFont="1"/>
    <xf numFmtId="0" fontId="0" fillId="18" borderId="0" xfId="0" applyFill="1"/>
    <xf numFmtId="10" fontId="5" fillId="17" borderId="6" xfId="0" applyNumberFormat="1" applyFont="1" applyFill="1" applyBorder="1" applyAlignment="1">
      <alignment horizontal="left"/>
    </xf>
    <xf numFmtId="0" fontId="0" fillId="5" borderId="0" xfId="0" applyFill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2" fontId="5" fillId="3" borderId="0" xfId="0" applyNumberFormat="1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5" fillId="19" borderId="0" xfId="0" applyFont="1" applyFill="1" applyAlignment="1">
      <alignment horizontal="left"/>
    </xf>
    <xf numFmtId="165" fontId="5" fillId="14" borderId="0" xfId="0" applyNumberFormat="1" applyFont="1" applyFill="1" applyAlignment="1">
      <alignment horizontal="center"/>
    </xf>
    <xf numFmtId="165" fontId="5" fillId="20" borderId="0" xfId="0" applyNumberFormat="1" applyFont="1" applyFill="1" applyAlignment="1">
      <alignment horizontal="center"/>
    </xf>
    <xf numFmtId="165" fontId="5" fillId="15" borderId="0" xfId="0" applyNumberFormat="1" applyFont="1" applyFill="1" applyAlignment="1">
      <alignment horizontal="center"/>
    </xf>
    <xf numFmtId="10" fontId="5" fillId="0" borderId="0" xfId="0" applyNumberFormat="1" applyFont="1" applyAlignment="1">
      <alignment horizontal="center"/>
    </xf>
    <xf numFmtId="2" fontId="12" fillId="17" borderId="0" xfId="0" applyNumberFormat="1" applyFont="1" applyFill="1" applyAlignment="1">
      <alignment horizontal="center"/>
    </xf>
    <xf numFmtId="2" fontId="13" fillId="17" borderId="0" xfId="0" applyNumberFormat="1" applyFont="1" applyFill="1" applyAlignment="1">
      <alignment horizontal="center"/>
    </xf>
    <xf numFmtId="0" fontId="14" fillId="0" borderId="0" xfId="0" applyFont="1"/>
    <xf numFmtId="165" fontId="6" fillId="0" borderId="0" xfId="0" applyNumberFormat="1" applyFont="1" applyAlignment="1">
      <alignment horizontal="right"/>
    </xf>
    <xf numFmtId="165" fontId="0" fillId="0" borderId="0" xfId="0" applyNumberFormat="1"/>
    <xf numFmtId="0" fontId="14" fillId="0" borderId="0" xfId="0" applyFont="1" applyAlignment="1">
      <alignment horizontal="center"/>
    </xf>
    <xf numFmtId="0" fontId="15" fillId="0" borderId="0" xfId="0" applyFont="1"/>
    <xf numFmtId="165" fontId="15" fillId="0" borderId="0" xfId="0" applyNumberFormat="1" applyFont="1"/>
    <xf numFmtId="8" fontId="0" fillId="0" borderId="0" xfId="0" applyNumberFormat="1"/>
    <xf numFmtId="9" fontId="4" fillId="0" borderId="2" xfId="0" applyNumberFormat="1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vertical="center"/>
    </xf>
    <xf numFmtId="164" fontId="3" fillId="2" borderId="18" xfId="0" applyNumberFormat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164" fontId="8" fillId="0" borderId="19" xfId="0" applyNumberFormat="1" applyFont="1" applyBorder="1"/>
    <xf numFmtId="164" fontId="8" fillId="13" borderId="19" xfId="0" applyNumberFormat="1" applyFont="1" applyFill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/>
    </xf>
    <xf numFmtId="164" fontId="8" fillId="0" borderId="19" xfId="0" applyNumberFormat="1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4" fontId="0" fillId="0" borderId="6" xfId="0" applyNumberFormat="1" applyBorder="1"/>
    <xf numFmtId="8" fontId="0" fillId="0" borderId="6" xfId="0" applyNumberFormat="1" applyBorder="1"/>
    <xf numFmtId="164" fontId="4" fillId="9" borderId="6" xfId="0" applyNumberFormat="1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6" xfId="0" applyBorder="1"/>
    <xf numFmtId="9" fontId="0" fillId="0" borderId="0" xfId="0" applyNumberFormat="1"/>
    <xf numFmtId="4" fontId="17" fillId="0" borderId="0" xfId="0" applyNumberFormat="1" applyFont="1" applyAlignment="1">
      <alignment horizontal="right"/>
    </xf>
    <xf numFmtId="0" fontId="0" fillId="0" borderId="6" xfId="0" applyBorder="1" applyAlignment="1">
      <alignment horizontal="center"/>
    </xf>
    <xf numFmtId="8" fontId="0" fillId="0" borderId="6" xfId="0" applyNumberFormat="1" applyBorder="1" applyAlignment="1">
      <alignment horizontal="center"/>
    </xf>
    <xf numFmtId="0" fontId="16" fillId="0" borderId="6" xfId="0" applyFont="1" applyBorder="1" applyAlignment="1">
      <alignment horizontal="center"/>
    </xf>
    <xf numFmtId="9" fontId="16" fillId="0" borderId="6" xfId="0" applyNumberFormat="1" applyFont="1" applyBorder="1" applyAlignment="1">
      <alignment horizontal="center"/>
    </xf>
    <xf numFmtId="4" fontId="18" fillId="12" borderId="0" xfId="0" applyNumberFormat="1" applyFont="1" applyFill="1"/>
    <xf numFmtId="8" fontId="0" fillId="12" borderId="6" xfId="0" applyNumberFormat="1" applyFill="1" applyBorder="1" applyAlignment="1">
      <alignment horizontal="center"/>
    </xf>
    <xf numFmtId="4" fontId="19" fillId="21" borderId="0" xfId="0" applyNumberFormat="1" applyFont="1" applyFill="1"/>
    <xf numFmtId="4" fontId="20" fillId="0" borderId="0" xfId="0" applyNumberFormat="1" applyFont="1"/>
    <xf numFmtId="8" fontId="16" fillId="0" borderId="6" xfId="0" applyNumberFormat="1" applyFont="1" applyBorder="1" applyAlignment="1">
      <alignment horizontal="center"/>
    </xf>
    <xf numFmtId="4" fontId="21" fillId="12" borderId="0" xfId="0" applyNumberFormat="1" applyFont="1" applyFill="1"/>
    <xf numFmtId="8" fontId="0" fillId="22" borderId="6" xfId="0" applyNumberFormat="1" applyFill="1" applyBorder="1" applyAlignment="1">
      <alignment horizontal="center"/>
    </xf>
    <xf numFmtId="10" fontId="0" fillId="0" borderId="0" xfId="0" applyNumberFormat="1"/>
    <xf numFmtId="4" fontId="22" fillId="0" borderId="6" xfId="0" applyNumberFormat="1" applyFont="1" applyBorder="1" applyAlignment="1">
      <alignment horizontal="center"/>
    </xf>
    <xf numFmtId="4" fontId="23" fillId="0" borderId="6" xfId="0" applyNumberFormat="1" applyFont="1" applyBorder="1" applyAlignment="1">
      <alignment horizontal="center"/>
    </xf>
    <xf numFmtId="4" fontId="24" fillId="21" borderId="6" xfId="0" applyNumberFormat="1" applyFont="1" applyFill="1" applyBorder="1" applyAlignment="1">
      <alignment horizontal="center"/>
    </xf>
    <xf numFmtId="165" fontId="0" fillId="0" borderId="6" xfId="0" applyNumberFormat="1" applyBorder="1"/>
    <xf numFmtId="4" fontId="22" fillId="0" borderId="0" xfId="0" applyNumberFormat="1" applyFont="1" applyAlignment="1">
      <alignment horizontal="center"/>
    </xf>
    <xf numFmtId="10" fontId="5" fillId="23" borderId="0" xfId="0" applyNumberFormat="1" applyFont="1" applyFill="1" applyAlignment="1">
      <alignment horizontal="center"/>
    </xf>
    <xf numFmtId="10" fontId="0" fillId="24" borderId="0" xfId="0" applyNumberFormat="1" applyFill="1"/>
    <xf numFmtId="8" fontId="0" fillId="24" borderId="0" xfId="0" applyNumberFormat="1" applyFill="1"/>
    <xf numFmtId="4" fontId="25" fillId="0" borderId="0" xfId="0" applyNumberFormat="1" applyFont="1"/>
    <xf numFmtId="8" fontId="26" fillId="7" borderId="4" xfId="0" applyNumberFormat="1" applyFont="1" applyFill="1" applyBorder="1"/>
    <xf numFmtId="9" fontId="27" fillId="10" borderId="6" xfId="0" applyNumberFormat="1" applyFont="1" applyFill="1" applyBorder="1" applyAlignment="1">
      <alignment horizontal="center"/>
    </xf>
    <xf numFmtId="9" fontId="27" fillId="11" borderId="6" xfId="0" applyNumberFormat="1" applyFont="1" applyFill="1" applyBorder="1" applyAlignment="1">
      <alignment horizontal="center"/>
    </xf>
    <xf numFmtId="9" fontId="27" fillId="12" borderId="6" xfId="0" applyNumberFormat="1" applyFont="1" applyFill="1" applyBorder="1" applyAlignment="1">
      <alignment horizontal="center"/>
    </xf>
    <xf numFmtId="22" fontId="28" fillId="10" borderId="0" xfId="0" applyNumberFormat="1" applyFont="1" applyFill="1"/>
    <xf numFmtId="0" fontId="28" fillId="11" borderId="0" xfId="0" applyFont="1" applyFill="1"/>
    <xf numFmtId="0" fontId="28" fillId="12" borderId="0" xfId="0" applyFont="1" applyFill="1"/>
    <xf numFmtId="165" fontId="27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16" borderId="0" xfId="0" applyFont="1" applyFill="1"/>
    <xf numFmtId="0" fontId="27" fillId="0" borderId="0" xfId="0" applyFont="1"/>
    <xf numFmtId="0" fontId="27" fillId="3" borderId="0" xfId="0" applyFont="1" applyFill="1" applyAlignment="1">
      <alignment horizontal="left"/>
    </xf>
    <xf numFmtId="0" fontId="27" fillId="3" borderId="0" xfId="0" applyFont="1" applyFill="1" applyAlignment="1">
      <alignment horizontal="center"/>
    </xf>
    <xf numFmtId="2" fontId="27" fillId="3" borderId="0" xfId="0" applyNumberFormat="1" applyFont="1" applyFill="1" applyAlignment="1">
      <alignment horizontal="center"/>
    </xf>
    <xf numFmtId="165" fontId="27" fillId="15" borderId="0" xfId="0" applyNumberFormat="1" applyFont="1" applyFill="1" applyAlignment="1">
      <alignment horizontal="center"/>
    </xf>
    <xf numFmtId="10" fontId="27" fillId="0" borderId="0" xfId="0" applyNumberFormat="1" applyFont="1" applyAlignment="1">
      <alignment horizontal="center"/>
    </xf>
    <xf numFmtId="2" fontId="32" fillId="17" borderId="0" xfId="0" applyNumberFormat="1" applyFont="1" applyFill="1" applyAlignment="1">
      <alignment horizontal="center"/>
    </xf>
    <xf numFmtId="2" fontId="33" fillId="17" borderId="0" xfId="0" applyNumberFormat="1" applyFont="1" applyFill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27" fillId="3" borderId="14" xfId="0" applyFont="1" applyFill="1" applyBorder="1" applyAlignment="1">
      <alignment horizontal="center"/>
    </xf>
    <xf numFmtId="0" fontId="27" fillId="3" borderId="15" xfId="0" applyFont="1" applyFill="1" applyBorder="1" applyAlignment="1">
      <alignment horizontal="center"/>
    </xf>
    <xf numFmtId="0" fontId="27" fillId="3" borderId="16" xfId="0" applyFont="1" applyFill="1" applyBorder="1" applyAlignment="1">
      <alignment horizontal="center"/>
    </xf>
    <xf numFmtId="0" fontId="27" fillId="17" borderId="6" xfId="0" applyFont="1" applyFill="1" applyBorder="1" applyAlignment="1">
      <alignment horizontal="center"/>
    </xf>
    <xf numFmtId="0" fontId="27" fillId="17" borderId="6" xfId="0" applyFont="1" applyFill="1" applyBorder="1" applyAlignment="1">
      <alignment horizontal="right"/>
    </xf>
    <xf numFmtId="2" fontId="27" fillId="17" borderId="6" xfId="0" applyNumberFormat="1" applyFont="1" applyFill="1" applyBorder="1" applyAlignment="1">
      <alignment horizontal="left"/>
    </xf>
    <xf numFmtId="10" fontId="27" fillId="17" borderId="6" xfId="0" applyNumberFormat="1" applyFont="1" applyFill="1" applyBorder="1" applyAlignment="1">
      <alignment horizontal="left"/>
    </xf>
    <xf numFmtId="0" fontId="27" fillId="19" borderId="0" xfId="0" applyFont="1" applyFill="1" applyAlignment="1">
      <alignment horizontal="center"/>
    </xf>
    <xf numFmtId="0" fontId="27" fillId="19" borderId="0" xfId="0" applyFont="1" applyFill="1" applyAlignment="1">
      <alignment horizontal="left"/>
    </xf>
    <xf numFmtId="165" fontId="27" fillId="14" borderId="0" xfId="0" applyNumberFormat="1" applyFont="1" applyFill="1" applyAlignment="1">
      <alignment horizontal="center"/>
    </xf>
    <xf numFmtId="165" fontId="27" fillId="20" borderId="0" xfId="0" applyNumberFormat="1" applyFont="1" applyFill="1" applyAlignment="1">
      <alignment horizontal="center"/>
    </xf>
    <xf numFmtId="4" fontId="36" fillId="0" borderId="0" xfId="0" applyNumberFormat="1" applyFont="1"/>
    <xf numFmtId="165" fontId="28" fillId="0" borderId="0" xfId="0" applyNumberFormat="1" applyFont="1" applyAlignment="1">
      <alignment horizontal="right"/>
    </xf>
    <xf numFmtId="0" fontId="37" fillId="0" borderId="0" xfId="0" applyFont="1"/>
    <xf numFmtId="165" fontId="37" fillId="0" borderId="0" xfId="0" applyNumberFormat="1" applyFont="1"/>
    <xf numFmtId="0" fontId="26" fillId="6" borderId="4" xfId="0" applyFont="1" applyFill="1" applyBorder="1" applyAlignment="1">
      <alignment horizontal="center"/>
    </xf>
    <xf numFmtId="8" fontId="38" fillId="0" borderId="22" xfId="0" applyNumberFormat="1" applyFont="1" applyBorder="1" applyAlignment="1">
      <alignment horizontal="center"/>
    </xf>
    <xf numFmtId="8" fontId="32" fillId="0" borderId="22" xfId="0" applyNumberFormat="1" applyFont="1" applyBorder="1" applyAlignment="1">
      <alignment horizontal="center"/>
    </xf>
    <xf numFmtId="0" fontId="26" fillId="6" borderId="19" xfId="0" applyFont="1" applyFill="1" applyBorder="1" applyAlignment="1">
      <alignment horizontal="center"/>
    </xf>
    <xf numFmtId="8" fontId="38" fillId="0" borderId="23" xfId="0" applyNumberFormat="1" applyFont="1" applyBorder="1" applyAlignment="1">
      <alignment horizontal="center"/>
    </xf>
    <xf numFmtId="8" fontId="32" fillId="0" borderId="23" xfId="0" applyNumberFormat="1" applyFont="1" applyBorder="1" applyAlignment="1">
      <alignment horizontal="center"/>
    </xf>
    <xf numFmtId="0" fontId="40" fillId="25" borderId="0" xfId="0" applyFont="1" applyFill="1" applyAlignment="1">
      <alignment horizontal="center"/>
    </xf>
    <xf numFmtId="9" fontId="41" fillId="25" borderId="0" xfId="0" applyNumberFormat="1" applyFont="1" applyFill="1" applyAlignment="1">
      <alignment horizontal="center"/>
    </xf>
    <xf numFmtId="0" fontId="41" fillId="25" borderId="0" xfId="0" applyFont="1" applyFill="1" applyAlignment="1">
      <alignment horizontal="center"/>
    </xf>
    <xf numFmtId="8" fontId="38" fillId="0" borderId="4" xfId="0" applyNumberFormat="1" applyFont="1" applyBorder="1" applyAlignment="1">
      <alignment horizontal="center"/>
    </xf>
    <xf numFmtId="8" fontId="32" fillId="0" borderId="4" xfId="0" applyNumberFormat="1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8" fontId="38" fillId="0" borderId="21" xfId="0" applyNumberFormat="1" applyFont="1" applyBorder="1" applyAlignment="1">
      <alignment horizontal="center"/>
    </xf>
    <xf numFmtId="8" fontId="38" fillId="0" borderId="24" xfId="0" applyNumberFormat="1" applyFont="1" applyBorder="1" applyAlignment="1">
      <alignment horizontal="center"/>
    </xf>
    <xf numFmtId="8" fontId="38" fillId="0" borderId="1" xfId="0" applyNumberFormat="1" applyFont="1" applyBorder="1" applyAlignment="1">
      <alignment horizontal="center"/>
    </xf>
    <xf numFmtId="8" fontId="38" fillId="0" borderId="2" xfId="0" applyNumberFormat="1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167" fontId="39" fillId="0" borderId="6" xfId="0" applyNumberFormat="1" applyFont="1" applyBorder="1"/>
    <xf numFmtId="8" fontId="38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" fontId="42" fillId="0" borderId="0" xfId="0" applyNumberFormat="1" applyFont="1"/>
    <xf numFmtId="4" fontId="43" fillId="0" borderId="0" xfId="0" applyNumberFormat="1" applyFont="1"/>
    <xf numFmtId="4" fontId="44" fillId="0" borderId="0" xfId="0" applyNumberFormat="1" applyFont="1" applyAlignment="1">
      <alignment horizontal="right"/>
    </xf>
    <xf numFmtId="4" fontId="45" fillId="0" borderId="0" xfId="0" applyNumberFormat="1" applyFont="1"/>
    <xf numFmtId="4" fontId="46" fillId="21" borderId="0" xfId="0" applyNumberFormat="1" applyFont="1" applyFill="1"/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35" fillId="0" borderId="2" xfId="0" applyFont="1" applyBorder="1"/>
    <xf numFmtId="0" fontId="35" fillId="0" borderId="3" xfId="0" applyFont="1" applyBorder="1"/>
  </cellXfs>
  <cellStyles count="1">
    <cellStyle name="Normal" xfId="0" builtinId="0"/>
  </cellStyles>
  <dxfs count="48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114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545062</xdr:colOff>
      <xdr:row>18</xdr:row>
      <xdr:rowOff>194388</xdr:rowOff>
    </xdr:from>
    <xdr:to>
      <xdr:col>13</xdr:col>
      <xdr:colOff>817205</xdr:colOff>
      <xdr:row>20</xdr:row>
      <xdr:rowOff>85920</xdr:rowOff>
    </xdr:to>
    <xdr:pic>
      <xdr:nvPicPr>
        <xdr:cNvPr id="2" name="Gráfico 1" descr="Na mosca com preenchimento sólido">
          <a:extLst>
            <a:ext uri="{FF2B5EF4-FFF2-40B4-BE49-F238E27FC236}">
              <a16:creationId xmlns:a16="http://schemas.microsoft.com/office/drawing/2014/main" id="{F7E67075-DDCB-4E6C-8AF6-18487845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03422" y="3623388"/>
          <a:ext cx="272143" cy="272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545062</xdr:colOff>
      <xdr:row>18</xdr:row>
      <xdr:rowOff>194388</xdr:rowOff>
    </xdr:from>
    <xdr:to>
      <xdr:col>13</xdr:col>
      <xdr:colOff>817205</xdr:colOff>
      <xdr:row>20</xdr:row>
      <xdr:rowOff>76395</xdr:rowOff>
    </xdr:to>
    <xdr:pic>
      <xdr:nvPicPr>
        <xdr:cNvPr id="2" name="Gráfico 1" descr="Na mosca com preenchimento sólido">
          <a:extLst>
            <a:ext uri="{FF2B5EF4-FFF2-40B4-BE49-F238E27FC236}">
              <a16:creationId xmlns:a16="http://schemas.microsoft.com/office/drawing/2014/main" id="{E8C27D0A-A42D-4D84-8BB0-4D58734A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451312" y="4052013"/>
          <a:ext cx="272143" cy="3392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545062</xdr:colOff>
      <xdr:row>18</xdr:row>
      <xdr:rowOff>194388</xdr:rowOff>
    </xdr:from>
    <xdr:to>
      <xdr:col>13</xdr:col>
      <xdr:colOff>817205</xdr:colOff>
      <xdr:row>20</xdr:row>
      <xdr:rowOff>76395</xdr:rowOff>
    </xdr:to>
    <xdr:pic>
      <xdr:nvPicPr>
        <xdr:cNvPr id="2" name="Gráfico 1" descr="Na mosca com preenchimento sólido">
          <a:extLst>
            <a:ext uri="{FF2B5EF4-FFF2-40B4-BE49-F238E27FC236}">
              <a16:creationId xmlns:a16="http://schemas.microsoft.com/office/drawing/2014/main" id="{54CED059-B174-4238-A419-4D999329D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4862" y="4052013"/>
          <a:ext cx="272143" cy="3392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545062</xdr:colOff>
      <xdr:row>18</xdr:row>
      <xdr:rowOff>194388</xdr:rowOff>
    </xdr:from>
    <xdr:to>
      <xdr:col>13</xdr:col>
      <xdr:colOff>817205</xdr:colOff>
      <xdr:row>20</xdr:row>
      <xdr:rowOff>66870</xdr:rowOff>
    </xdr:to>
    <xdr:pic>
      <xdr:nvPicPr>
        <xdr:cNvPr id="2" name="Gráfico 1" descr="Na mosca com preenchimento sólido">
          <a:extLst>
            <a:ext uri="{FF2B5EF4-FFF2-40B4-BE49-F238E27FC236}">
              <a16:creationId xmlns:a16="http://schemas.microsoft.com/office/drawing/2014/main" id="{E87A0A73-ECAB-4C6E-B66A-09AF1A408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518862" y="3909138"/>
          <a:ext cx="272143" cy="3296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545062</xdr:colOff>
      <xdr:row>18</xdr:row>
      <xdr:rowOff>194388</xdr:rowOff>
    </xdr:from>
    <xdr:to>
      <xdr:col>13</xdr:col>
      <xdr:colOff>813742</xdr:colOff>
      <xdr:row>20</xdr:row>
      <xdr:rowOff>162120</xdr:rowOff>
    </xdr:to>
    <xdr:pic>
      <xdr:nvPicPr>
        <xdr:cNvPr id="2" name="Gráfico 1" descr="Na mosca com preenchimento sólido">
          <a:extLst>
            <a:ext uri="{FF2B5EF4-FFF2-40B4-BE49-F238E27FC236}">
              <a16:creationId xmlns:a16="http://schemas.microsoft.com/office/drawing/2014/main" id="{6E481819-1BF0-41D3-A413-D4D2B4A4F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851862" y="4027248"/>
          <a:ext cx="272143" cy="3487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545062</xdr:colOff>
      <xdr:row>18</xdr:row>
      <xdr:rowOff>194388</xdr:rowOff>
    </xdr:from>
    <xdr:to>
      <xdr:col>14</xdr:col>
      <xdr:colOff>207605</xdr:colOff>
      <xdr:row>20</xdr:row>
      <xdr:rowOff>162120</xdr:rowOff>
    </xdr:to>
    <xdr:pic>
      <xdr:nvPicPr>
        <xdr:cNvPr id="2" name="Gráfico 1" descr="Na mosca com preenchimento sólido">
          <a:extLst>
            <a:ext uri="{FF2B5EF4-FFF2-40B4-BE49-F238E27FC236}">
              <a16:creationId xmlns:a16="http://schemas.microsoft.com/office/drawing/2014/main" id="{483D93BC-9C92-4B70-B2DC-BBE4B3638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851862" y="4027248"/>
          <a:ext cx="272143" cy="348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796F-C919-4136-A046-F3C7E29069F7}">
  <dimension ref="A2:AB56"/>
  <sheetViews>
    <sheetView zoomScale="82" zoomScaleNormal="82" workbookViewId="0">
      <selection activeCell="D4" sqref="D4"/>
    </sheetView>
  </sheetViews>
  <sheetFormatPr defaultRowHeight="14.4"/>
  <cols>
    <col min="1" max="1" width="10.109375" bestFit="1" customWidth="1"/>
    <col min="2" max="2" width="24.88671875" bestFit="1" customWidth="1"/>
    <col min="3" max="3" width="29" bestFit="1" customWidth="1"/>
    <col min="4" max="4" width="18.6640625" bestFit="1" customWidth="1"/>
    <col min="5" max="5" width="17.6640625" bestFit="1" customWidth="1"/>
    <col min="6" max="6" width="27.88671875" customWidth="1"/>
    <col min="7" max="7" width="17.6640625" bestFit="1" customWidth="1"/>
    <col min="8" max="8" width="15.88671875" bestFit="1" customWidth="1"/>
    <col min="9" max="9" width="13.6640625" hidden="1" customWidth="1"/>
    <col min="10" max="10" width="13.109375" hidden="1" customWidth="1"/>
    <col min="11" max="11" width="14.88671875" bestFit="1" customWidth="1"/>
    <col min="12" max="12" width="44.44140625" bestFit="1" customWidth="1"/>
    <col min="13" max="13" width="16.6640625" customWidth="1"/>
    <col min="14" max="14" width="18.109375" customWidth="1"/>
    <col min="15" max="15" width="13.6640625" bestFit="1" customWidth="1"/>
    <col min="16" max="16" width="15.33203125" customWidth="1"/>
    <col min="17" max="17" width="7.88671875" customWidth="1"/>
    <col min="19" max="19" width="30.44140625" bestFit="1" customWidth="1"/>
    <col min="20" max="20" width="15.6640625" customWidth="1"/>
    <col min="21" max="21" width="17.33203125" customWidth="1"/>
    <col min="22" max="22" width="15.6640625" customWidth="1"/>
    <col min="23" max="23" width="13.33203125" customWidth="1"/>
    <col min="24" max="24" width="15.6640625" customWidth="1"/>
    <col min="25" max="25" width="16.44140625" customWidth="1"/>
    <col min="26" max="26" width="15.6640625" customWidth="1"/>
    <col min="27" max="27" width="13" customWidth="1"/>
    <col min="28" max="28" width="15.6640625" customWidth="1"/>
  </cols>
  <sheetData>
    <row r="2" spans="2:17" ht="17.399999999999999">
      <c r="B2" s="172" t="s">
        <v>0</v>
      </c>
      <c r="C2" s="173"/>
      <c r="D2" s="172" t="s">
        <v>1</v>
      </c>
      <c r="E2" s="174"/>
      <c r="F2" s="174"/>
      <c r="G2" s="174"/>
      <c r="H2" s="174"/>
      <c r="I2" s="173"/>
      <c r="J2" s="1"/>
    </row>
    <row r="3" spans="2:17" ht="15.6">
      <c r="B3" s="69" t="s">
        <v>2</v>
      </c>
      <c r="C3" s="70" t="s">
        <v>3</v>
      </c>
      <c r="D3" s="71" t="s">
        <v>4</v>
      </c>
      <c r="E3" s="72" t="s">
        <v>5</v>
      </c>
      <c r="F3" s="72" t="s">
        <v>6</v>
      </c>
      <c r="G3" s="72" t="s">
        <v>7</v>
      </c>
      <c r="H3" s="72" t="s">
        <v>8</v>
      </c>
      <c r="I3" s="2" t="s">
        <v>9</v>
      </c>
      <c r="J3" s="3" t="s">
        <v>10</v>
      </c>
      <c r="L3" s="175" t="s">
        <v>11</v>
      </c>
      <c r="M3" s="175"/>
      <c r="N3" s="175"/>
    </row>
    <row r="4" spans="2:17" ht="15.6">
      <c r="B4" s="78" t="s">
        <v>12</v>
      </c>
      <c r="C4" s="79"/>
      <c r="D4" s="80">
        <v>104672</v>
      </c>
      <c r="E4" s="80">
        <v>117232.64</v>
      </c>
      <c r="F4" s="80">
        <v>136073.60000000001</v>
      </c>
      <c r="G4" s="81">
        <f>E4*1.3</f>
        <v>152402.432</v>
      </c>
      <c r="H4" s="82">
        <f>C4-D4</f>
        <v>-104672</v>
      </c>
      <c r="I4" s="68">
        <f>C4/D4</f>
        <v>0</v>
      </c>
      <c r="J4" s="6">
        <f>C4-E4</f>
        <v>-117232.64</v>
      </c>
      <c r="L4" s="7" t="s">
        <v>5</v>
      </c>
      <c r="M4" s="8" t="s">
        <v>6</v>
      </c>
      <c r="N4" s="9" t="s">
        <v>13</v>
      </c>
      <c r="O4" s="10" t="s">
        <v>14</v>
      </c>
      <c r="P4" s="10" t="s">
        <v>15</v>
      </c>
      <c r="Q4" s="10" t="s">
        <v>16</v>
      </c>
    </row>
    <row r="5" spans="2:17" ht="15.6">
      <c r="B5" s="78" t="s">
        <v>17</v>
      </c>
      <c r="C5" s="79"/>
      <c r="D5" s="83">
        <v>0</v>
      </c>
      <c r="E5" s="83">
        <v>0</v>
      </c>
      <c r="F5" s="83">
        <f t="shared" ref="F5" si="0">E5*1.12</f>
        <v>0</v>
      </c>
      <c r="G5" s="83">
        <f t="shared" ref="G5:G13" si="1">E5*1.3</f>
        <v>0</v>
      </c>
      <c r="H5" s="83">
        <f t="shared" ref="H5:H13" si="2">C5-D5</f>
        <v>0</v>
      </c>
      <c r="I5" s="68" t="e">
        <f t="shared" ref="I5:I14" si="3">C5/D5</f>
        <v>#DIV/0!</v>
      </c>
      <c r="J5" s="6">
        <f t="shared" ref="J5:J11" si="4">C5-E5</f>
        <v>0</v>
      </c>
      <c r="L5" s="4">
        <v>0</v>
      </c>
      <c r="M5" s="5">
        <f>L5*1.12</f>
        <v>0</v>
      </c>
      <c r="N5" s="11">
        <f>L5*1.3</f>
        <v>0</v>
      </c>
      <c r="O5" s="12">
        <v>0.4</v>
      </c>
      <c r="P5" s="13">
        <v>0.35</v>
      </c>
      <c r="Q5" s="14">
        <v>0.25</v>
      </c>
    </row>
    <row r="6" spans="2:17" ht="15.6">
      <c r="B6" s="78" t="s">
        <v>18</v>
      </c>
      <c r="C6" s="79"/>
      <c r="D6" s="80">
        <v>120000</v>
      </c>
      <c r="E6" s="80">
        <v>134400</v>
      </c>
      <c r="F6" s="80">
        <v>156000</v>
      </c>
      <c r="G6" s="81">
        <f t="shared" si="1"/>
        <v>174720</v>
      </c>
      <c r="H6" s="82">
        <f t="shared" si="2"/>
        <v>-120000</v>
      </c>
      <c r="I6" s="68">
        <f t="shared" si="3"/>
        <v>0</v>
      </c>
      <c r="J6" s="6">
        <f t="shared" si="4"/>
        <v>-134400</v>
      </c>
      <c r="L6" s="15"/>
      <c r="M6" s="15"/>
      <c r="N6" s="16"/>
      <c r="O6" s="17" t="s">
        <v>19</v>
      </c>
      <c r="P6" s="18" t="s">
        <v>20</v>
      </c>
      <c r="Q6" s="19" t="s">
        <v>21</v>
      </c>
    </row>
    <row r="7" spans="2:17" ht="15.6">
      <c r="B7" s="78" t="s">
        <v>22</v>
      </c>
      <c r="C7" s="79"/>
      <c r="D7" s="80">
        <v>101199</v>
      </c>
      <c r="E7" s="80">
        <v>113342.88</v>
      </c>
      <c r="F7" s="80">
        <v>131558.70000000001</v>
      </c>
      <c r="G7" s="81">
        <f t="shared" si="1"/>
        <v>147345.74400000001</v>
      </c>
      <c r="H7" s="82">
        <f t="shared" si="2"/>
        <v>-101199</v>
      </c>
      <c r="I7" s="68">
        <f t="shared" si="3"/>
        <v>0</v>
      </c>
      <c r="J7" s="6">
        <f t="shared" si="4"/>
        <v>-113342.88</v>
      </c>
      <c r="L7" s="20"/>
      <c r="M7" s="20"/>
      <c r="N7" s="21"/>
      <c r="O7" s="22">
        <v>0</v>
      </c>
      <c r="P7" s="22">
        <v>0</v>
      </c>
      <c r="Q7" s="22">
        <v>0</v>
      </c>
    </row>
    <row r="8" spans="2:17" ht="15.6">
      <c r="B8" s="78" t="s">
        <v>23</v>
      </c>
      <c r="C8" s="79"/>
      <c r="D8" s="80">
        <v>205272</v>
      </c>
      <c r="E8" s="80">
        <v>229904.64000000001</v>
      </c>
      <c r="F8" s="80">
        <v>266853.59999999998</v>
      </c>
      <c r="G8" s="81">
        <f t="shared" si="1"/>
        <v>298876.03200000001</v>
      </c>
      <c r="H8" s="82">
        <f t="shared" si="2"/>
        <v>-205272</v>
      </c>
      <c r="I8" s="68">
        <f t="shared" si="3"/>
        <v>0</v>
      </c>
      <c r="J8" s="6">
        <f t="shared" si="4"/>
        <v>-229904.64000000001</v>
      </c>
      <c r="L8" s="176" t="s">
        <v>24</v>
      </c>
      <c r="M8" s="176"/>
      <c r="N8" s="177"/>
    </row>
    <row r="9" spans="2:17" ht="15.6">
      <c r="B9" s="78" t="s">
        <v>25</v>
      </c>
      <c r="C9" s="79"/>
      <c r="D9" s="80">
        <v>110000</v>
      </c>
      <c r="E9" s="80">
        <v>123200</v>
      </c>
      <c r="F9" s="80">
        <v>143000</v>
      </c>
      <c r="G9" s="81">
        <f t="shared" si="1"/>
        <v>160160</v>
      </c>
      <c r="H9" s="82">
        <f t="shared" si="2"/>
        <v>-110000</v>
      </c>
      <c r="I9" s="68">
        <f t="shared" si="3"/>
        <v>0</v>
      </c>
      <c r="J9" s="6">
        <f t="shared" si="4"/>
        <v>-123200</v>
      </c>
      <c r="L9" s="20"/>
      <c r="M9" s="20"/>
      <c r="N9" s="21"/>
    </row>
    <row r="10" spans="2:17" ht="15.6">
      <c r="B10" s="78" t="s">
        <v>26</v>
      </c>
      <c r="C10" s="79"/>
      <c r="D10" s="80">
        <v>180000</v>
      </c>
      <c r="E10" s="80">
        <v>201600</v>
      </c>
      <c r="F10" s="80">
        <v>234000</v>
      </c>
      <c r="G10" s="81">
        <f t="shared" si="1"/>
        <v>262080</v>
      </c>
      <c r="H10" s="82">
        <f t="shared" si="2"/>
        <v>-180000</v>
      </c>
      <c r="I10" s="68">
        <f t="shared" si="3"/>
        <v>0</v>
      </c>
      <c r="J10" s="6">
        <f t="shared" si="4"/>
        <v>-201600</v>
      </c>
      <c r="L10" s="163" t="s">
        <v>27</v>
      </c>
      <c r="M10" s="163" t="s">
        <v>28</v>
      </c>
      <c r="N10" s="164" t="s">
        <v>29</v>
      </c>
    </row>
    <row r="11" spans="2:17" ht="15.6">
      <c r="B11" s="78" t="s">
        <v>30</v>
      </c>
      <c r="C11" s="79"/>
      <c r="D11" s="80">
        <v>141778</v>
      </c>
      <c r="E11" s="80">
        <v>158791.35999999999</v>
      </c>
      <c r="F11" s="80">
        <v>184311.4</v>
      </c>
      <c r="G11" s="81">
        <f t="shared" si="1"/>
        <v>206428.76799999998</v>
      </c>
      <c r="H11" s="82">
        <f t="shared" si="2"/>
        <v>-141778</v>
      </c>
      <c r="I11" s="68">
        <f t="shared" si="3"/>
        <v>0</v>
      </c>
      <c r="J11" s="6">
        <f t="shared" si="4"/>
        <v>-158791.35999999999</v>
      </c>
      <c r="L11" s="23">
        <v>8.0000000000000002E-3</v>
      </c>
      <c r="M11" s="24">
        <v>0.01</v>
      </c>
      <c r="N11" s="25">
        <v>1.2E-2</v>
      </c>
    </row>
    <row r="12" spans="2:17" ht="15.6">
      <c r="B12" s="83" t="s">
        <v>31</v>
      </c>
      <c r="C12" s="79"/>
      <c r="D12" s="80">
        <v>120000</v>
      </c>
      <c r="E12" s="80">
        <v>134400</v>
      </c>
      <c r="F12" s="80">
        <v>156000</v>
      </c>
      <c r="G12" s="81">
        <f t="shared" si="1"/>
        <v>174720</v>
      </c>
      <c r="H12" s="82">
        <f t="shared" si="2"/>
        <v>-120000</v>
      </c>
      <c r="I12" s="68"/>
      <c r="J12" s="6"/>
      <c r="L12" s="23"/>
      <c r="M12" s="24"/>
      <c r="N12" s="25"/>
    </row>
    <row r="13" spans="2:17" ht="15.6">
      <c r="B13" s="83" t="s">
        <v>32</v>
      </c>
      <c r="C13" s="79"/>
      <c r="D13" s="80">
        <v>140000</v>
      </c>
      <c r="E13" s="80">
        <v>156800</v>
      </c>
      <c r="F13" s="80">
        <v>182000</v>
      </c>
      <c r="G13" s="81">
        <f t="shared" si="1"/>
        <v>203840</v>
      </c>
      <c r="H13" s="82">
        <f t="shared" si="2"/>
        <v>-140000</v>
      </c>
      <c r="I13" s="68"/>
      <c r="J13" s="6"/>
      <c r="L13" s="23"/>
      <c r="M13" s="24"/>
      <c r="N13" s="25"/>
    </row>
    <row r="14" spans="2:17" ht="20.399999999999999">
      <c r="B14" s="73" t="s">
        <v>33</v>
      </c>
      <c r="C14" s="74">
        <f>SUM(C4:C11)</f>
        <v>0</v>
      </c>
      <c r="D14" s="74">
        <f>SUM(D4:D11)</f>
        <v>962921</v>
      </c>
      <c r="E14" s="75">
        <f>SUM(E4:E13)</f>
        <v>1369671.52</v>
      </c>
      <c r="F14" s="76">
        <f>SUM(F4:F13)</f>
        <v>1589797.2999999998</v>
      </c>
      <c r="G14" s="76">
        <f>SUM(G4:G13)</f>
        <v>1780572.976</v>
      </c>
      <c r="H14" s="77">
        <f>C14-D14</f>
        <v>-962921</v>
      </c>
      <c r="I14" s="26">
        <f t="shared" si="3"/>
        <v>0</v>
      </c>
      <c r="J14" s="27">
        <f>SUM(J4:J11)</f>
        <v>-1078471.52</v>
      </c>
      <c r="L14" s="20"/>
      <c r="M14" s="20"/>
      <c r="N14" s="21"/>
      <c r="O14" s="28"/>
      <c r="P14" s="29" t="s">
        <v>34</v>
      </c>
      <c r="Q14" s="30"/>
    </row>
    <row r="15" spans="2:17" ht="20.399999999999999">
      <c r="L15" s="176" t="s">
        <v>35</v>
      </c>
      <c r="M15" s="176"/>
      <c r="N15" s="177"/>
      <c r="O15" s="28"/>
      <c r="P15" s="29" t="s">
        <v>36</v>
      </c>
      <c r="Q15" s="30"/>
    </row>
    <row r="16" spans="2:17" ht="21" thickBot="1">
      <c r="L16" s="20"/>
      <c r="M16" s="20"/>
      <c r="N16" s="21"/>
      <c r="O16" s="28"/>
      <c r="P16" s="29" t="s">
        <v>37</v>
      </c>
      <c r="Q16" s="30"/>
    </row>
    <row r="17" spans="1:28" ht="21" thickBot="1">
      <c r="B17" s="31" t="s">
        <v>38</v>
      </c>
      <c r="C17" s="32">
        <v>2025</v>
      </c>
      <c r="D17" s="32">
        <v>2025</v>
      </c>
      <c r="E17" s="33">
        <f>E14*0.2%</f>
        <v>2739.3430400000002</v>
      </c>
      <c r="F17" s="33">
        <f>F14*0.2%</f>
        <v>3179.5945999999999</v>
      </c>
      <c r="G17" s="33">
        <f>G14*0.2%</f>
        <v>3561.1459520000003</v>
      </c>
      <c r="L17" s="170" t="s">
        <v>39</v>
      </c>
      <c r="M17" s="170"/>
      <c r="N17" s="171"/>
      <c r="O17" s="28"/>
      <c r="P17" s="29" t="s">
        <v>40</v>
      </c>
      <c r="Q17" s="30"/>
    </row>
    <row r="18" spans="1:28" ht="15.6">
      <c r="B18" s="34" t="s">
        <v>41</v>
      </c>
      <c r="C18" s="35">
        <v>26</v>
      </c>
      <c r="D18" s="35">
        <v>26</v>
      </c>
      <c r="F18" t="s">
        <v>42</v>
      </c>
      <c r="L18" s="170" t="s">
        <v>43</v>
      </c>
      <c r="M18" s="170"/>
      <c r="N18" s="171"/>
    </row>
    <row r="19" spans="1:28" ht="15.6">
      <c r="B19" s="34" t="s">
        <v>44</v>
      </c>
      <c r="C19" s="35">
        <v>25</v>
      </c>
      <c r="D19" s="35">
        <v>25</v>
      </c>
    </row>
    <row r="20" spans="1:28" ht="20.399999999999999">
      <c r="B20" s="34" t="s">
        <v>45</v>
      </c>
      <c r="C20" s="35">
        <v>26</v>
      </c>
      <c r="D20" s="35">
        <v>26</v>
      </c>
      <c r="L20" s="36" t="s">
        <v>46</v>
      </c>
      <c r="M20" s="37"/>
      <c r="N20" s="37"/>
    </row>
    <row r="21" spans="1:28" ht="15.6">
      <c r="B21" s="34" t="s">
        <v>47</v>
      </c>
      <c r="C21" s="35">
        <v>25</v>
      </c>
      <c r="D21" s="35">
        <v>25</v>
      </c>
    </row>
    <row r="22" spans="1:28" ht="15.6">
      <c r="B22" s="34" t="s">
        <v>48</v>
      </c>
      <c r="C22" s="35">
        <v>25</v>
      </c>
      <c r="D22" s="35">
        <v>25</v>
      </c>
      <c r="M22" s="49"/>
    </row>
    <row r="23" spans="1:28" ht="15.6">
      <c r="B23" s="34"/>
      <c r="C23" s="35"/>
      <c r="D23" s="35"/>
      <c r="F23" s="38" t="s">
        <v>49</v>
      </c>
      <c r="G23" s="39"/>
      <c r="H23" s="40" t="s">
        <v>50</v>
      </c>
    </row>
    <row r="24" spans="1:28" ht="15.6">
      <c r="B24" s="34"/>
      <c r="C24" s="35"/>
      <c r="D24" s="35"/>
      <c r="F24" s="41" t="s">
        <v>51</v>
      </c>
      <c r="G24" s="42"/>
      <c r="H24" s="43">
        <v>120</v>
      </c>
    </row>
    <row r="25" spans="1:28" ht="16.2" thickBot="1">
      <c r="B25" s="44"/>
      <c r="C25" s="35"/>
      <c r="D25" s="35"/>
      <c r="F25" s="41" t="s">
        <v>52</v>
      </c>
      <c r="G25" s="42"/>
      <c r="H25" s="43">
        <v>3</v>
      </c>
      <c r="M25" s="45"/>
      <c r="N25" s="46" t="s">
        <v>53</v>
      </c>
    </row>
    <row r="26" spans="1:28">
      <c r="F26" s="41" t="s">
        <v>54</v>
      </c>
      <c r="G26" s="42"/>
      <c r="H26" s="43">
        <v>40</v>
      </c>
      <c r="M26" s="47"/>
      <c r="N26" s="46" t="s">
        <v>55</v>
      </c>
    </row>
    <row r="27" spans="1:28">
      <c r="F27" s="41" t="s">
        <v>56</v>
      </c>
      <c r="G27" s="42"/>
      <c r="H27" s="48">
        <v>0.41</v>
      </c>
      <c r="M27" s="49"/>
      <c r="N27" s="46" t="s">
        <v>57</v>
      </c>
    </row>
    <row r="29" spans="1:28">
      <c r="A29" s="50" t="s">
        <v>58</v>
      </c>
      <c r="B29" s="50" t="s">
        <v>59</v>
      </c>
      <c r="C29" s="50" t="s">
        <v>60</v>
      </c>
      <c r="D29" s="50" t="s">
        <v>61</v>
      </c>
      <c r="E29" s="50" t="s">
        <v>62</v>
      </c>
      <c r="F29" s="50" t="s">
        <v>63</v>
      </c>
      <c r="G29" s="50" t="s">
        <v>60</v>
      </c>
      <c r="H29" s="51" t="s">
        <v>64</v>
      </c>
      <c r="I29" s="50" t="s">
        <v>61</v>
      </c>
      <c r="J29" s="51" t="s">
        <v>65</v>
      </c>
      <c r="K29" s="50" t="s">
        <v>62</v>
      </c>
      <c r="L29" s="51" t="s">
        <v>66</v>
      </c>
      <c r="M29" s="50" t="s">
        <v>67</v>
      </c>
      <c r="N29" s="52" t="s">
        <v>68</v>
      </c>
      <c r="O29" s="52" t="s">
        <v>51</v>
      </c>
      <c r="P29" s="52" t="s">
        <v>54</v>
      </c>
      <c r="Q29" s="52" t="s">
        <v>69</v>
      </c>
      <c r="S29" s="178" t="s">
        <v>70</v>
      </c>
      <c r="T29" s="179"/>
      <c r="U29" s="179"/>
      <c r="V29" s="179"/>
      <c r="W29" s="179"/>
      <c r="X29" s="179"/>
      <c r="Y29" s="179"/>
      <c r="Z29" s="179"/>
      <c r="AA29" s="179"/>
      <c r="AB29" s="180"/>
    </row>
    <row r="30" spans="1:28">
      <c r="A30" s="53">
        <v>257</v>
      </c>
      <c r="B30" s="54" t="s">
        <v>71</v>
      </c>
      <c r="C30" s="55">
        <v>104672</v>
      </c>
      <c r="D30" s="56">
        <f t="shared" ref="D30:D39" si="5">C30*1.12</f>
        <v>117232.64000000001</v>
      </c>
      <c r="E30" s="57">
        <f t="shared" ref="E30:E39" si="6">C30*1.3</f>
        <v>136073.60000000001</v>
      </c>
      <c r="F30" s="85">
        <v>115212.11</v>
      </c>
      <c r="G30" s="55">
        <f t="shared" ref="G30:G38" si="7">C30-F30</f>
        <v>-10540.11</v>
      </c>
      <c r="H30" s="55">
        <f>G30/10</f>
        <v>-1054.011</v>
      </c>
      <c r="I30" s="56">
        <f>D30-F30</f>
        <v>2020.5300000000134</v>
      </c>
      <c r="J30" s="56">
        <f>I30/11</f>
        <v>183.68454545454668</v>
      </c>
      <c r="K30" s="57">
        <f>E30-F30</f>
        <v>20861.490000000005</v>
      </c>
      <c r="L30" s="57">
        <f>K30/11</f>
        <v>1896.4990909090914</v>
      </c>
      <c r="M30" s="58">
        <f t="shared" ref="M30:M38" si="8">F30/C30</f>
        <v>1.1006965568633444</v>
      </c>
      <c r="N30" s="59"/>
      <c r="O30" s="59"/>
      <c r="P30" s="60"/>
      <c r="Q30" s="59"/>
      <c r="S30" s="88" t="s">
        <v>2</v>
      </c>
      <c r="T30" s="89">
        <v>0.2</v>
      </c>
      <c r="U30" s="89" t="s">
        <v>72</v>
      </c>
      <c r="V30" s="89">
        <v>0.3</v>
      </c>
      <c r="W30" s="89" t="s">
        <v>72</v>
      </c>
      <c r="X30" s="89">
        <v>0.26</v>
      </c>
      <c r="Y30" s="89" t="s">
        <v>72</v>
      </c>
      <c r="Z30" s="89">
        <v>0.24</v>
      </c>
      <c r="AA30" s="89" t="s">
        <v>72</v>
      </c>
      <c r="AB30" s="88" t="s">
        <v>73</v>
      </c>
    </row>
    <row r="31" spans="1:28">
      <c r="A31" s="53">
        <v>1017</v>
      </c>
      <c r="B31" s="54" t="s">
        <v>74</v>
      </c>
      <c r="C31" s="55">
        <v>140000</v>
      </c>
      <c r="D31" s="56">
        <f t="shared" si="5"/>
        <v>156800.00000000003</v>
      </c>
      <c r="E31" s="57">
        <f t="shared" si="6"/>
        <v>182000</v>
      </c>
      <c r="F31" s="85">
        <v>152021.53</v>
      </c>
      <c r="G31" s="55">
        <f t="shared" si="7"/>
        <v>-12021.529999999999</v>
      </c>
      <c r="H31" s="55">
        <f>G31/9</f>
        <v>-1335.7255555555555</v>
      </c>
      <c r="I31" s="56"/>
      <c r="J31" s="56"/>
      <c r="K31" s="57"/>
      <c r="L31" s="57"/>
      <c r="M31" s="58">
        <f t="shared" si="8"/>
        <v>1.0858680714285713</v>
      </c>
      <c r="N31" s="59"/>
      <c r="O31" s="59"/>
      <c r="P31" s="60"/>
      <c r="Q31" s="59"/>
      <c r="S31" s="86" t="s">
        <v>75</v>
      </c>
      <c r="T31" s="94">
        <v>24000</v>
      </c>
      <c r="U31" s="96">
        <v>22141.14</v>
      </c>
      <c r="V31" s="94">
        <v>36000</v>
      </c>
      <c r="W31" s="96">
        <v>33484.230000000003</v>
      </c>
      <c r="X31" s="94">
        <v>31200</v>
      </c>
      <c r="Y31" s="91">
        <v>38619.089999999997</v>
      </c>
      <c r="Z31" s="94">
        <v>28800</v>
      </c>
      <c r="AA31" s="87"/>
      <c r="AB31" s="94">
        <v>120000</v>
      </c>
    </row>
    <row r="32" spans="1:28">
      <c r="A32" s="53">
        <v>157</v>
      </c>
      <c r="B32" s="54" t="s">
        <v>76</v>
      </c>
      <c r="C32" s="55">
        <v>141778</v>
      </c>
      <c r="D32" s="56">
        <f t="shared" si="5"/>
        <v>158791.36000000002</v>
      </c>
      <c r="E32" s="57">
        <f t="shared" si="6"/>
        <v>184311.4</v>
      </c>
      <c r="F32" s="85">
        <v>135322.99</v>
      </c>
      <c r="G32" s="55">
        <f t="shared" si="7"/>
        <v>6455.0100000000093</v>
      </c>
      <c r="H32" s="55">
        <f>G32/10</f>
        <v>645.50100000000089</v>
      </c>
      <c r="I32" s="56">
        <f t="shared" ref="I32:I38" si="9">D32-F32</f>
        <v>23468.370000000024</v>
      </c>
      <c r="J32" s="56">
        <f>I32/10</f>
        <v>2346.8370000000023</v>
      </c>
      <c r="K32" s="57">
        <f t="shared" ref="K32:K38" si="10">E32-F32</f>
        <v>48988.41</v>
      </c>
      <c r="L32" s="57">
        <f>K32/10</f>
        <v>4898.8410000000003</v>
      </c>
      <c r="M32" s="58">
        <f t="shared" si="8"/>
        <v>0.95447100396394358</v>
      </c>
      <c r="N32" s="59"/>
      <c r="O32" s="59"/>
      <c r="P32" s="60"/>
      <c r="Q32" s="59"/>
      <c r="S32" s="86" t="s">
        <v>77</v>
      </c>
      <c r="T32" s="94">
        <v>36000</v>
      </c>
      <c r="U32" s="96">
        <v>35476.78</v>
      </c>
      <c r="V32" s="94">
        <v>54000</v>
      </c>
      <c r="W32" s="96">
        <v>43882.59</v>
      </c>
      <c r="X32" s="94">
        <v>46800</v>
      </c>
      <c r="Y32" s="96">
        <v>45071.32</v>
      </c>
      <c r="Z32" s="94">
        <v>43200</v>
      </c>
      <c r="AA32" s="87"/>
      <c r="AB32" s="94">
        <v>180000</v>
      </c>
    </row>
    <row r="33" spans="1:28">
      <c r="A33" s="53">
        <v>109</v>
      </c>
      <c r="B33" s="54" t="s">
        <v>78</v>
      </c>
      <c r="C33" s="55">
        <v>101199</v>
      </c>
      <c r="D33" s="56">
        <f t="shared" si="5"/>
        <v>113342.88</v>
      </c>
      <c r="E33" s="57">
        <f t="shared" si="6"/>
        <v>131558.70000000001</v>
      </c>
      <c r="F33" s="85">
        <v>87927.27</v>
      </c>
      <c r="G33" s="55">
        <f t="shared" si="7"/>
        <v>13271.729999999996</v>
      </c>
      <c r="H33" s="55">
        <f>G33/11</f>
        <v>1206.5209090909086</v>
      </c>
      <c r="I33" s="56">
        <f t="shared" si="9"/>
        <v>25415.61</v>
      </c>
      <c r="J33" s="56">
        <f>I33/11</f>
        <v>2310.5100000000002</v>
      </c>
      <c r="K33" s="57">
        <f t="shared" si="10"/>
        <v>43631.430000000008</v>
      </c>
      <c r="L33" s="57">
        <f>K33/11</f>
        <v>3966.4936363636371</v>
      </c>
      <c r="M33" s="58">
        <f t="shared" si="8"/>
        <v>0.86885512702694689</v>
      </c>
      <c r="N33" s="59"/>
      <c r="O33" s="59"/>
      <c r="P33" s="60"/>
      <c r="Q33" s="59"/>
      <c r="S33" s="86" t="s">
        <v>79</v>
      </c>
      <c r="T33" s="94">
        <v>20934.400000000001</v>
      </c>
      <c r="U33" s="91">
        <v>22209.09</v>
      </c>
      <c r="V33" s="94">
        <v>31401.599999999999</v>
      </c>
      <c r="W33" s="91">
        <v>33505.03</v>
      </c>
      <c r="X33" s="94">
        <v>27214.720000000001</v>
      </c>
      <c r="Y33" s="91">
        <v>52283.55</v>
      </c>
      <c r="Z33" s="94">
        <v>25121.279999999999</v>
      </c>
      <c r="AA33" s="87"/>
      <c r="AB33" s="94">
        <v>104672</v>
      </c>
    </row>
    <row r="34" spans="1:28">
      <c r="A34" s="53">
        <v>117</v>
      </c>
      <c r="B34" s="54" t="s">
        <v>80</v>
      </c>
      <c r="C34" s="55">
        <v>120000</v>
      </c>
      <c r="D34" s="56">
        <f t="shared" si="5"/>
        <v>134400</v>
      </c>
      <c r="E34" s="57">
        <f t="shared" si="6"/>
        <v>156000</v>
      </c>
      <c r="F34" s="85">
        <v>101425.86</v>
      </c>
      <c r="G34" s="55">
        <f t="shared" si="7"/>
        <v>18574.14</v>
      </c>
      <c r="H34" s="55">
        <f>G34/11</f>
        <v>1688.5581818181818</v>
      </c>
      <c r="I34" s="56">
        <f t="shared" si="9"/>
        <v>32974.14</v>
      </c>
      <c r="J34" s="56">
        <f>I34/11</f>
        <v>2997.6490909090908</v>
      </c>
      <c r="K34" s="57">
        <f t="shared" si="10"/>
        <v>54574.14</v>
      </c>
      <c r="L34" s="57">
        <f>K34/11</f>
        <v>4961.2854545454547</v>
      </c>
      <c r="M34" s="58">
        <f t="shared" si="8"/>
        <v>0.84521550000000001</v>
      </c>
      <c r="N34" s="59"/>
      <c r="O34" s="59"/>
      <c r="P34" s="60"/>
      <c r="Q34" s="59"/>
      <c r="S34" s="86" t="s">
        <v>81</v>
      </c>
      <c r="T34" s="94">
        <v>41054.400000000001</v>
      </c>
      <c r="U34" s="96">
        <v>33343.33</v>
      </c>
      <c r="V34" s="94">
        <v>61581.599999999999</v>
      </c>
      <c r="W34" s="96">
        <v>43769.22</v>
      </c>
      <c r="X34" s="94">
        <v>53370.720000000001</v>
      </c>
      <c r="Y34" s="96">
        <v>35643.74</v>
      </c>
      <c r="Z34" s="94">
        <v>49265.279999999999</v>
      </c>
      <c r="AA34" s="87"/>
      <c r="AB34" s="94">
        <v>205272</v>
      </c>
    </row>
    <row r="35" spans="1:28">
      <c r="A35" s="53">
        <v>997</v>
      </c>
      <c r="B35" s="54" t="s">
        <v>82</v>
      </c>
      <c r="C35" s="55">
        <v>120000</v>
      </c>
      <c r="D35" s="56">
        <f t="shared" si="5"/>
        <v>134400</v>
      </c>
      <c r="E35" s="57">
        <f t="shared" si="6"/>
        <v>156000</v>
      </c>
      <c r="F35" s="93">
        <v>101310.26</v>
      </c>
      <c r="G35" s="55">
        <f t="shared" si="7"/>
        <v>18689.740000000005</v>
      </c>
      <c r="H35" s="55">
        <f>G35/10</f>
        <v>1868.9740000000006</v>
      </c>
      <c r="I35" s="56">
        <f t="shared" si="9"/>
        <v>33089.740000000005</v>
      </c>
      <c r="J35" s="56"/>
      <c r="K35" s="57">
        <f t="shared" si="10"/>
        <v>54689.740000000005</v>
      </c>
      <c r="L35" s="57"/>
      <c r="M35" s="58">
        <f t="shared" si="8"/>
        <v>0.84425216666666658</v>
      </c>
      <c r="N35" s="59"/>
      <c r="O35" s="59"/>
      <c r="P35" s="60"/>
      <c r="Q35" s="59"/>
      <c r="S35" s="86" t="s">
        <v>83</v>
      </c>
      <c r="T35" s="94">
        <v>20239.8</v>
      </c>
      <c r="U35" s="91">
        <v>21331.22</v>
      </c>
      <c r="V35" s="94">
        <v>30359.7</v>
      </c>
      <c r="W35" s="96">
        <v>24653.439999999999</v>
      </c>
      <c r="X35" s="94">
        <v>26311.74</v>
      </c>
      <c r="Y35" s="91">
        <v>32312.55</v>
      </c>
      <c r="Z35" s="94">
        <v>24287.759999999998</v>
      </c>
      <c r="AA35" s="87"/>
      <c r="AB35" s="94">
        <v>101199</v>
      </c>
    </row>
    <row r="36" spans="1:28">
      <c r="A36" s="53">
        <v>165</v>
      </c>
      <c r="B36" s="54" t="s">
        <v>84</v>
      </c>
      <c r="C36" s="55">
        <v>180000</v>
      </c>
      <c r="D36" s="56">
        <f t="shared" si="5"/>
        <v>201600.00000000003</v>
      </c>
      <c r="E36" s="57">
        <f t="shared" si="6"/>
        <v>234000</v>
      </c>
      <c r="F36" s="92">
        <v>134077.70000000001</v>
      </c>
      <c r="G36" s="55">
        <f t="shared" si="7"/>
        <v>45922.299999999988</v>
      </c>
      <c r="H36" s="55">
        <f>G36/10</f>
        <v>4592.2299999999987</v>
      </c>
      <c r="I36" s="56">
        <f t="shared" si="9"/>
        <v>67522.300000000017</v>
      </c>
      <c r="J36" s="56">
        <f>I36/10</f>
        <v>6752.2300000000014</v>
      </c>
      <c r="K36" s="57">
        <f t="shared" si="10"/>
        <v>99922.299999999988</v>
      </c>
      <c r="L36" s="57">
        <f>K36/10</f>
        <v>9992.23</v>
      </c>
      <c r="M36" s="58">
        <f t="shared" si="8"/>
        <v>0.74487611111111118</v>
      </c>
      <c r="N36" s="59"/>
      <c r="O36" s="60"/>
      <c r="P36" s="60"/>
      <c r="Q36" s="59"/>
      <c r="S36" s="86"/>
      <c r="T36" s="94"/>
      <c r="U36" s="87"/>
      <c r="V36" s="94"/>
      <c r="W36" s="87"/>
      <c r="X36" s="94"/>
      <c r="Y36" s="87"/>
      <c r="Z36" s="94">
        <v>0</v>
      </c>
      <c r="AA36" s="87"/>
      <c r="AB36" s="94">
        <v>0</v>
      </c>
    </row>
    <row r="37" spans="1:28">
      <c r="A37" s="53">
        <v>236</v>
      </c>
      <c r="B37" s="54" t="s">
        <v>85</v>
      </c>
      <c r="C37" s="55">
        <v>110000</v>
      </c>
      <c r="D37" s="56">
        <f t="shared" si="5"/>
        <v>123200.00000000001</v>
      </c>
      <c r="E37" s="57">
        <f t="shared" si="6"/>
        <v>143000</v>
      </c>
      <c r="F37" s="85">
        <v>80248.13</v>
      </c>
      <c r="G37" s="55">
        <f t="shared" si="7"/>
        <v>29751.869999999995</v>
      </c>
      <c r="H37" s="55">
        <f>G37/9</f>
        <v>3305.7633333333329</v>
      </c>
      <c r="I37" s="56">
        <f t="shared" si="9"/>
        <v>42951.87000000001</v>
      </c>
      <c r="J37" s="56">
        <f>I37/9</f>
        <v>4772.4300000000012</v>
      </c>
      <c r="K37" s="57">
        <f t="shared" si="10"/>
        <v>62751.869999999995</v>
      </c>
      <c r="L37" s="57">
        <f>K37/9</f>
        <v>6972.4299999999994</v>
      </c>
      <c r="M37" s="58">
        <f t="shared" si="8"/>
        <v>0.72952845454545456</v>
      </c>
      <c r="N37" s="59"/>
      <c r="O37" s="59"/>
      <c r="P37" s="60"/>
      <c r="Q37" s="59"/>
      <c r="S37" s="86" t="s">
        <v>86</v>
      </c>
      <c r="T37" s="94">
        <v>22000</v>
      </c>
      <c r="U37" s="96">
        <v>17332.419999999998</v>
      </c>
      <c r="V37" s="94">
        <v>33000</v>
      </c>
      <c r="W37" s="96">
        <v>31825.58</v>
      </c>
      <c r="X37" s="94">
        <v>28600</v>
      </c>
      <c r="Y37" s="96">
        <v>23189.81</v>
      </c>
      <c r="Z37" s="94">
        <v>26400</v>
      </c>
      <c r="AA37" s="87"/>
      <c r="AB37" s="94">
        <v>110000</v>
      </c>
    </row>
    <row r="38" spans="1:28">
      <c r="A38" s="53">
        <v>363</v>
      </c>
      <c r="B38" s="54" t="s">
        <v>87</v>
      </c>
      <c r="C38" s="55">
        <v>205272</v>
      </c>
      <c r="D38" s="56">
        <f t="shared" si="5"/>
        <v>229904.64000000001</v>
      </c>
      <c r="E38" s="57">
        <f t="shared" si="6"/>
        <v>266853.60000000003</v>
      </c>
      <c r="F38" s="85">
        <v>127540.82</v>
      </c>
      <c r="G38" s="55">
        <f t="shared" si="7"/>
        <v>77731.179999999993</v>
      </c>
      <c r="H38" s="55">
        <f>G38/9</f>
        <v>8636.7977777777778</v>
      </c>
      <c r="I38" s="56">
        <f t="shared" si="9"/>
        <v>102363.82</v>
      </c>
      <c r="J38" s="56">
        <f>I38/9</f>
        <v>11373.757777777779</v>
      </c>
      <c r="K38" s="57">
        <f t="shared" si="10"/>
        <v>139312.78000000003</v>
      </c>
      <c r="L38" s="57">
        <f>K38/9</f>
        <v>15479.197777777781</v>
      </c>
      <c r="M38" s="58">
        <f t="shared" si="8"/>
        <v>0.62132594801044472</v>
      </c>
      <c r="N38" s="59"/>
      <c r="O38" s="59"/>
      <c r="P38" s="60"/>
      <c r="Q38" s="59"/>
      <c r="S38" s="86" t="s">
        <v>88</v>
      </c>
      <c r="T38" s="94">
        <v>28355.599999999999</v>
      </c>
      <c r="U38" s="90">
        <v>34786.639999999999</v>
      </c>
      <c r="V38" s="94">
        <v>42533.4</v>
      </c>
      <c r="W38" s="91">
        <v>48785.87</v>
      </c>
      <c r="X38" s="94">
        <v>36862.28</v>
      </c>
      <c r="Y38" s="95">
        <v>41722.93</v>
      </c>
      <c r="Z38" s="94">
        <v>34026.720000000001</v>
      </c>
      <c r="AA38" s="87"/>
      <c r="AB38" s="94">
        <v>141778</v>
      </c>
    </row>
    <row r="39" spans="1:28">
      <c r="A39" s="53"/>
      <c r="B39" s="54" t="s">
        <v>89</v>
      </c>
      <c r="C39" s="55"/>
      <c r="D39" s="56">
        <f t="shared" si="5"/>
        <v>0</v>
      </c>
      <c r="E39" s="57">
        <f t="shared" si="6"/>
        <v>0</v>
      </c>
      <c r="F39" s="55"/>
      <c r="G39" s="56" t="e">
        <f>D39-#REF!</f>
        <v>#REF!</v>
      </c>
      <c r="H39" s="56" t="e">
        <f>G39/11</f>
        <v>#REF!</v>
      </c>
      <c r="I39" s="57" t="e">
        <f>E39-#REF!</f>
        <v>#REF!</v>
      </c>
      <c r="J39" s="57" t="e">
        <f>I39/11</f>
        <v>#REF!</v>
      </c>
      <c r="K39" s="58" t="e">
        <f>#REF!/C39</f>
        <v>#REF!</v>
      </c>
      <c r="L39" s="59">
        <v>2.17</v>
      </c>
      <c r="M39" s="60"/>
      <c r="N39" s="60"/>
      <c r="O39" s="59"/>
      <c r="S39" s="86" t="s">
        <v>31</v>
      </c>
      <c r="T39" s="94">
        <v>24000</v>
      </c>
      <c r="U39" s="91">
        <v>26150.31</v>
      </c>
      <c r="V39" s="94">
        <v>36000</v>
      </c>
      <c r="W39" s="91">
        <v>37109.81</v>
      </c>
      <c r="X39" s="94">
        <v>31200</v>
      </c>
      <c r="Y39" s="96">
        <v>29222.06</v>
      </c>
      <c r="Z39" s="94">
        <v>28800</v>
      </c>
      <c r="AA39" s="87"/>
      <c r="AB39" s="94">
        <v>120000</v>
      </c>
    </row>
    <row r="40" spans="1:28" ht="22.8">
      <c r="B40" s="61"/>
      <c r="C40" s="62">
        <f>SUM(C30:C39)</f>
        <v>1222921</v>
      </c>
      <c r="D40" s="62">
        <f>SUM(D30:D39)</f>
        <v>1369671.52</v>
      </c>
      <c r="E40" s="62">
        <f>SUM(E30:E39)</f>
        <v>1589797.3</v>
      </c>
      <c r="S40" s="86" t="s">
        <v>32</v>
      </c>
      <c r="T40" s="94">
        <v>28000</v>
      </c>
      <c r="U40" s="91">
        <v>35638.620000000003</v>
      </c>
      <c r="V40" s="94">
        <v>42000</v>
      </c>
      <c r="W40" s="91">
        <v>42049.49</v>
      </c>
      <c r="X40" s="94">
        <v>36400</v>
      </c>
      <c r="Y40" s="91">
        <v>61961.87</v>
      </c>
      <c r="Z40" s="94">
        <v>33600</v>
      </c>
      <c r="AA40" s="87"/>
      <c r="AB40" s="94">
        <v>140000</v>
      </c>
    </row>
    <row r="41" spans="1:28" ht="22.8">
      <c r="B41" s="61"/>
      <c r="C41" s="61"/>
      <c r="D41" s="61"/>
      <c r="E41" s="61"/>
      <c r="F41" s="63">
        <f>SUM(F30:F39)</f>
        <v>1035086.6699999999</v>
      </c>
      <c r="G41" s="55">
        <f>C40-F41</f>
        <v>187834.33000000007</v>
      </c>
      <c r="H41" s="55">
        <f>G41/8</f>
        <v>23479.291250000009</v>
      </c>
      <c r="I41" s="56">
        <f>D40-F41</f>
        <v>334584.85000000009</v>
      </c>
      <c r="J41" s="56">
        <f>I41/8</f>
        <v>41823.106250000012</v>
      </c>
      <c r="K41" s="57">
        <f>E40-F41</f>
        <v>554710.63000000012</v>
      </c>
      <c r="L41" s="57">
        <f>K41/8</f>
        <v>69338.828750000015</v>
      </c>
      <c r="N41" s="61"/>
      <c r="O41" s="64"/>
      <c r="P41" s="64"/>
      <c r="Q41" s="64"/>
    </row>
    <row r="42" spans="1:28" ht="22.8">
      <c r="B42" s="65"/>
      <c r="C42" s="66">
        <f>C40*0.2%</f>
        <v>2445.8420000000001</v>
      </c>
      <c r="D42" s="61"/>
      <c r="E42" s="61"/>
      <c r="G42" s="61"/>
      <c r="H42" s="61"/>
      <c r="I42" s="61"/>
      <c r="J42" s="61"/>
      <c r="L42" s="58">
        <f>F41/C40</f>
        <v>0.84640518071077353</v>
      </c>
      <c r="M42" s="61"/>
      <c r="N42" s="61"/>
      <c r="O42" s="64"/>
      <c r="P42" s="64"/>
      <c r="Q42" s="64"/>
    </row>
    <row r="46" spans="1:28">
      <c r="B46" s="84"/>
      <c r="C46" s="84"/>
      <c r="D46" s="84"/>
      <c r="E46" s="84"/>
    </row>
    <row r="47" spans="1:28">
      <c r="B47" s="67"/>
      <c r="C47" s="67"/>
      <c r="D47" s="67"/>
      <c r="E47" s="67"/>
      <c r="F47" s="67"/>
    </row>
    <row r="48" spans="1:28">
      <c r="B48" s="67"/>
      <c r="C48" s="67"/>
      <c r="D48" s="67"/>
      <c r="E48" s="67"/>
      <c r="F48" s="67"/>
    </row>
    <row r="49" spans="2:6">
      <c r="B49" s="67"/>
      <c r="C49" s="67"/>
      <c r="D49" s="67"/>
      <c r="E49" s="67"/>
      <c r="F49" s="67"/>
    </row>
    <row r="50" spans="2:6">
      <c r="B50" s="67"/>
      <c r="C50" s="67"/>
      <c r="D50" s="67"/>
      <c r="E50" s="67"/>
      <c r="F50" s="67"/>
    </row>
    <row r="51" spans="2:6">
      <c r="B51" s="67"/>
      <c r="C51" s="67"/>
      <c r="D51" s="67"/>
      <c r="E51" s="67"/>
      <c r="F51" s="67"/>
    </row>
    <row r="52" spans="2:6">
      <c r="B52" s="67"/>
      <c r="C52" s="67"/>
      <c r="D52" s="67"/>
      <c r="E52" s="67"/>
      <c r="F52" s="67"/>
    </row>
    <row r="53" spans="2:6">
      <c r="B53" s="67"/>
      <c r="C53" s="67"/>
      <c r="D53" s="67"/>
      <c r="E53" s="67"/>
      <c r="F53" s="67"/>
    </row>
    <row r="54" spans="2:6">
      <c r="B54" s="67"/>
      <c r="C54" s="67"/>
      <c r="D54" s="67"/>
      <c r="E54" s="67"/>
      <c r="F54" s="67"/>
    </row>
    <row r="55" spans="2:6">
      <c r="B55" s="67"/>
      <c r="C55" s="67"/>
      <c r="D55" s="67"/>
      <c r="E55" s="67"/>
      <c r="F55" s="67"/>
    </row>
    <row r="56" spans="2:6">
      <c r="B56" s="67"/>
      <c r="C56" s="67"/>
      <c r="D56" s="67"/>
      <c r="E56" s="67"/>
      <c r="F56" s="67"/>
    </row>
  </sheetData>
  <autoFilter ref="A29:Q42" xr:uid="{D90D796F-C919-4136-A046-F3C7E29069F7}">
    <sortState xmlns:xlrd2="http://schemas.microsoft.com/office/spreadsheetml/2017/richdata2" ref="A30:Q42">
      <sortCondition descending="1" ref="M29:M42"/>
    </sortState>
  </autoFilter>
  <sortState xmlns:xlrd2="http://schemas.microsoft.com/office/spreadsheetml/2017/richdata2" ref="A30:Q42">
    <sortCondition ref="M29:M42"/>
  </sortState>
  <mergeCells count="8">
    <mergeCell ref="S29:AB29"/>
    <mergeCell ref="L18:N18"/>
    <mergeCell ref="B2:C2"/>
    <mergeCell ref="D2:I2"/>
    <mergeCell ref="L3:N3"/>
    <mergeCell ref="L8:N8"/>
    <mergeCell ref="L15:N15"/>
    <mergeCell ref="L17:N17"/>
  </mergeCells>
  <conditionalFormatting sqref="D4 D6:D13">
    <cfRule type="cellIs" dxfId="47" priority="4" operator="lessThan">
      <formula>$E4</formula>
    </cfRule>
    <cfRule type="cellIs" dxfId="46" priority="5" operator="greaterThan">
      <formula>$G4</formula>
    </cfRule>
    <cfRule type="cellIs" dxfId="45" priority="6" operator="greaterThan">
      <formula>$F4</formula>
    </cfRule>
    <cfRule type="cellIs" dxfId="44" priority="7" operator="greaterThan">
      <formula>$E4</formula>
    </cfRule>
  </conditionalFormatting>
  <conditionalFormatting sqref="H4 H6:H14">
    <cfRule type="cellIs" dxfId="43" priority="8" operator="greaterThan">
      <formula>0</formula>
    </cfRule>
    <cfRule type="cellIs" dxfId="42" priority="9" operator="lessThan">
      <formula>0</formula>
    </cfRule>
  </conditionalFormatting>
  <conditionalFormatting sqref="I4:I14">
    <cfRule type="cellIs" dxfId="41" priority="10" operator="lessThan">
      <formula>1</formula>
    </cfRule>
    <cfRule type="cellIs" dxfId="40" priority="11" operator="greaterThan">
      <formula>1</formula>
    </cfRule>
  </conditionalFormatting>
  <conditionalFormatting sqref="M30:M37 L42 K38:K39">
    <cfRule type="colorScale" priority="12">
      <colorScale>
        <cfvo type="min"/>
        <cfvo type="max"/>
        <color rgb="FFFFEF9C"/>
        <color rgb="FF63BE7B"/>
      </colorScale>
    </cfRule>
  </conditionalFormatting>
  <conditionalFormatting sqref="M30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00B050"/>
      </colorScale>
    </cfRule>
  </conditionalFormatting>
  <pageMargins left="0.511811024" right="0.511811024" top="0.78740157499999996" bottom="0.78740157499999996" header="0.31496062000000002" footer="0.31496062000000002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7B1D-03CB-411C-AAC6-92508979C4C1}">
  <dimension ref="A1:M15"/>
  <sheetViews>
    <sheetView workbookViewId="0">
      <selection activeCell="M22" sqref="M22"/>
    </sheetView>
  </sheetViews>
  <sheetFormatPr defaultRowHeight="14.4"/>
  <cols>
    <col min="1" max="1" width="10.109375" bestFit="1" customWidth="1"/>
    <col min="2" max="2" width="17.33203125" bestFit="1" customWidth="1"/>
    <col min="3" max="5" width="15.88671875" bestFit="1" customWidth="1"/>
    <col min="6" max="6" width="22" customWidth="1"/>
    <col min="7" max="7" width="14.33203125" hidden="1" customWidth="1"/>
    <col min="8" max="8" width="13.109375" hidden="1" customWidth="1"/>
    <col min="9" max="9" width="14.33203125" hidden="1" customWidth="1"/>
    <col min="10" max="10" width="13.109375" hidden="1" customWidth="1"/>
    <col min="11" max="11" width="14.33203125" hidden="1" customWidth="1"/>
    <col min="12" max="12" width="13.109375" hidden="1" customWidth="1"/>
    <col min="13" max="13" width="9.6640625" bestFit="1" customWidth="1"/>
  </cols>
  <sheetData>
    <row r="1" spans="1:13">
      <c r="A1" s="50" t="s">
        <v>58</v>
      </c>
      <c r="B1" s="50" t="s">
        <v>59</v>
      </c>
      <c r="C1" s="50" t="s">
        <v>60</v>
      </c>
      <c r="D1" s="50" t="s">
        <v>61</v>
      </c>
      <c r="E1" s="50" t="s">
        <v>62</v>
      </c>
      <c r="F1" s="50" t="s">
        <v>63</v>
      </c>
      <c r="G1" s="50" t="s">
        <v>60</v>
      </c>
      <c r="H1" s="51" t="s">
        <v>64</v>
      </c>
      <c r="I1" s="50" t="s">
        <v>61</v>
      </c>
      <c r="J1" s="51" t="s">
        <v>65</v>
      </c>
      <c r="K1" s="50" t="s">
        <v>62</v>
      </c>
      <c r="L1" s="51" t="s">
        <v>66</v>
      </c>
      <c r="M1" s="50" t="s">
        <v>67</v>
      </c>
    </row>
    <row r="2" spans="1:13">
      <c r="A2" s="53">
        <v>1017</v>
      </c>
      <c r="B2" s="54" t="s">
        <v>74</v>
      </c>
      <c r="C2" s="55">
        <v>147000</v>
      </c>
      <c r="D2" s="56">
        <f>C2*1.12</f>
        <v>164640.00000000003</v>
      </c>
      <c r="E2" s="57">
        <f>C2*1.3</f>
        <v>191100</v>
      </c>
      <c r="F2" s="98">
        <v>108206.22</v>
      </c>
      <c r="G2" s="55">
        <f>C2-F2</f>
        <v>38793.78</v>
      </c>
      <c r="H2" s="55">
        <f>G2/9</f>
        <v>4310.42</v>
      </c>
      <c r="I2" s="56"/>
      <c r="J2" s="56"/>
      <c r="K2" s="57"/>
      <c r="L2" s="57"/>
      <c r="M2" s="58">
        <f>F2/C2</f>
        <v>0.7360967346938776</v>
      </c>
    </row>
    <row r="3" spans="1:13">
      <c r="A3" s="53">
        <v>117</v>
      </c>
      <c r="B3" s="54" t="s">
        <v>80</v>
      </c>
      <c r="C3" s="55">
        <v>120000</v>
      </c>
      <c r="D3" s="56">
        <f>C3*1.12</f>
        <v>134400</v>
      </c>
      <c r="E3" s="57">
        <f>C3*1.3</f>
        <v>156000</v>
      </c>
      <c r="F3" s="98">
        <v>85034.68</v>
      </c>
      <c r="G3" s="55">
        <f>C3-F3</f>
        <v>34965.320000000007</v>
      </c>
      <c r="H3" s="55">
        <f>G3/11</f>
        <v>3178.6654545454553</v>
      </c>
      <c r="I3" s="56">
        <f>D3-F3</f>
        <v>49365.320000000007</v>
      </c>
      <c r="J3" s="56">
        <f>I3/11</f>
        <v>4487.7563636363639</v>
      </c>
      <c r="K3" s="57">
        <f>E3-F3</f>
        <v>70965.320000000007</v>
      </c>
      <c r="L3" s="57">
        <f>K3/11</f>
        <v>6451.3927272727278</v>
      </c>
      <c r="M3" s="58">
        <f>F3/C3</f>
        <v>0.70862233333333324</v>
      </c>
    </row>
    <row r="4" spans="1:13">
      <c r="A4" s="53">
        <v>257</v>
      </c>
      <c r="B4" s="54" t="s">
        <v>71</v>
      </c>
      <c r="C4" s="55">
        <v>123284</v>
      </c>
      <c r="D4" s="56">
        <f>C4*1.12</f>
        <v>138078.08000000002</v>
      </c>
      <c r="E4" s="57">
        <f>C4*1.3</f>
        <v>160269.20000000001</v>
      </c>
      <c r="F4" s="98">
        <v>84654.27</v>
      </c>
      <c r="G4" s="55">
        <f>C4-F4</f>
        <v>38629.729999999996</v>
      </c>
      <c r="H4" s="55">
        <f>G4/10</f>
        <v>3862.9729999999995</v>
      </c>
      <c r="I4" s="56">
        <f>D4-F4</f>
        <v>53423.810000000012</v>
      </c>
      <c r="J4" s="56">
        <f>I4/11</f>
        <v>4856.7100000000009</v>
      </c>
      <c r="K4" s="57">
        <f>E4-F4</f>
        <v>75614.930000000008</v>
      </c>
      <c r="L4" s="57">
        <f>K4/11</f>
        <v>6874.0845454545461</v>
      </c>
      <c r="M4" s="58">
        <f>F4/C4</f>
        <v>0.68666063722786419</v>
      </c>
    </row>
    <row r="5" spans="1:13">
      <c r="A5" s="53">
        <v>157</v>
      </c>
      <c r="B5" s="54" t="s">
        <v>76</v>
      </c>
      <c r="C5" s="55">
        <v>165000</v>
      </c>
      <c r="D5" s="56">
        <f>C5*1.12</f>
        <v>184800.00000000003</v>
      </c>
      <c r="E5" s="57">
        <f>C5*1.3</f>
        <v>214500</v>
      </c>
      <c r="F5" s="98">
        <v>102918.8</v>
      </c>
      <c r="G5" s="55">
        <f>C5-F5</f>
        <v>62081.2</v>
      </c>
      <c r="H5" s="55">
        <f>G5/10</f>
        <v>6208.12</v>
      </c>
      <c r="I5" s="56">
        <f>D5-F5</f>
        <v>81881.200000000026</v>
      </c>
      <c r="J5" s="56">
        <f>I5/10</f>
        <v>8188.1200000000026</v>
      </c>
      <c r="K5" s="57">
        <f>E5-F5</f>
        <v>111581.2</v>
      </c>
      <c r="L5" s="57">
        <f>K5/10</f>
        <v>11158.119999999999</v>
      </c>
      <c r="M5" s="58">
        <f>F5/C5</f>
        <v>0.6237503030303031</v>
      </c>
    </row>
    <row r="6" spans="1:13" ht="22.8" hidden="1">
      <c r="B6" s="61"/>
      <c r="C6" s="61"/>
      <c r="D6" s="61"/>
      <c r="E6" s="61"/>
      <c r="F6" s="101">
        <f>SUM(F1:F4)</f>
        <v>277895.17</v>
      </c>
      <c r="G6" s="55">
        <f>C5-F6</f>
        <v>-112895.16999999998</v>
      </c>
      <c r="H6" s="55">
        <f>G6/8</f>
        <v>-14111.896249999998</v>
      </c>
      <c r="I6" s="56">
        <f>D5-F6</f>
        <v>-93095.169999999955</v>
      </c>
      <c r="J6" s="56">
        <f>I6/8</f>
        <v>-11636.896249999994</v>
      </c>
      <c r="K6" s="57">
        <f>E5-F6</f>
        <v>-63395.169999999984</v>
      </c>
      <c r="L6" s="57">
        <f>K6/8</f>
        <v>-7924.396249999998</v>
      </c>
      <c r="M6" s="97">
        <v>0.51719999999999999</v>
      </c>
    </row>
    <row r="7" spans="1:13">
      <c r="A7" s="53">
        <v>165</v>
      </c>
      <c r="B7" s="54" t="s">
        <v>84</v>
      </c>
      <c r="C7" s="55">
        <v>168000</v>
      </c>
      <c r="D7" s="56">
        <f>C7*1.12</f>
        <v>188160.00000000003</v>
      </c>
      <c r="E7" s="57">
        <f>C7*1.3</f>
        <v>218400</v>
      </c>
      <c r="F7" s="100">
        <v>107305.48</v>
      </c>
      <c r="G7" s="55">
        <f>C7-F7</f>
        <v>60694.520000000004</v>
      </c>
      <c r="H7" s="55">
        <f>G7/10</f>
        <v>6069.4520000000002</v>
      </c>
      <c r="I7" s="56">
        <f>D7-F7</f>
        <v>80854.520000000033</v>
      </c>
      <c r="J7" s="56">
        <f>I7/10</f>
        <v>8085.452000000003</v>
      </c>
      <c r="K7" s="57">
        <f>E7-F7</f>
        <v>111094.52</v>
      </c>
      <c r="L7" s="57">
        <f>K7/10</f>
        <v>11109.452000000001</v>
      </c>
      <c r="M7" s="58">
        <f>F7/C7</f>
        <v>0.63872309523809523</v>
      </c>
    </row>
    <row r="8" spans="1:13">
      <c r="A8" s="53">
        <v>997</v>
      </c>
      <c r="B8" s="54" t="s">
        <v>82</v>
      </c>
      <c r="C8" s="55">
        <v>145000</v>
      </c>
      <c r="D8" s="56">
        <f>C8*1.12</f>
        <v>162400.00000000003</v>
      </c>
      <c r="E8" s="57">
        <f>C8*1.3</f>
        <v>188500</v>
      </c>
      <c r="F8" s="99">
        <v>88651.15</v>
      </c>
      <c r="G8" s="55">
        <f>C8-F8</f>
        <v>56348.850000000006</v>
      </c>
      <c r="H8" s="55">
        <f>G8/10</f>
        <v>5634.8850000000002</v>
      </c>
      <c r="I8" s="56">
        <f>D8-F8</f>
        <v>73748.850000000035</v>
      </c>
      <c r="J8" s="56"/>
      <c r="K8" s="57">
        <f>E8-F8</f>
        <v>99848.85</v>
      </c>
      <c r="L8" s="57"/>
      <c r="M8" s="58">
        <f>F8/C8</f>
        <v>0.61138724137931033</v>
      </c>
    </row>
    <row r="9" spans="1:13">
      <c r="A9" s="53">
        <v>363</v>
      </c>
      <c r="B9" s="54" t="s">
        <v>87</v>
      </c>
      <c r="C9" s="55">
        <v>158000</v>
      </c>
      <c r="D9" s="56">
        <f>C9*1.12</f>
        <v>176960.00000000003</v>
      </c>
      <c r="E9" s="57">
        <f>C9*1.3</f>
        <v>205400</v>
      </c>
      <c r="F9" s="98">
        <v>94696.8</v>
      </c>
      <c r="G9" s="55">
        <f>C9-F9</f>
        <v>63303.199999999997</v>
      </c>
      <c r="H9" s="55">
        <f>G9/9</f>
        <v>7033.6888888888889</v>
      </c>
      <c r="I9" s="56">
        <f>D9-F9</f>
        <v>82263.200000000026</v>
      </c>
      <c r="J9" s="56">
        <f>I9/9</f>
        <v>9140.3555555555577</v>
      </c>
      <c r="K9" s="57">
        <f>E9-F9</f>
        <v>110703.2</v>
      </c>
      <c r="L9" s="57">
        <f>K9/9</f>
        <v>12300.355555555556</v>
      </c>
      <c r="M9" s="58">
        <f>F9/C9</f>
        <v>0.59934683544303802</v>
      </c>
    </row>
    <row r="10" spans="1:13">
      <c r="A10" s="53">
        <v>236</v>
      </c>
      <c r="B10" s="54" t="s">
        <v>85</v>
      </c>
      <c r="C10" s="55">
        <v>105000</v>
      </c>
      <c r="D10" s="56">
        <f>C10*1.12</f>
        <v>117600.00000000001</v>
      </c>
      <c r="E10" s="57">
        <f>C10*1.3</f>
        <v>136500</v>
      </c>
      <c r="F10" s="98">
        <v>58266.17</v>
      </c>
      <c r="G10" s="55">
        <f>C10-F10</f>
        <v>46733.83</v>
      </c>
      <c r="H10" s="55">
        <f>G10/9</f>
        <v>5192.6477777777782</v>
      </c>
      <c r="I10" s="56">
        <f>D10-F10</f>
        <v>59333.830000000016</v>
      </c>
      <c r="J10" s="56">
        <f>I10/9</f>
        <v>6592.64777777778</v>
      </c>
      <c r="K10" s="57">
        <f>E10-F10</f>
        <v>78233.83</v>
      </c>
      <c r="L10" s="57">
        <f>K10/9</f>
        <v>8692.6477777777782</v>
      </c>
      <c r="M10" s="58">
        <f>F10/C10</f>
        <v>0.55491590476190478</v>
      </c>
    </row>
    <row r="11" spans="1:13" hidden="1">
      <c r="A11" s="53"/>
      <c r="B11" s="54"/>
      <c r="C11" s="55"/>
      <c r="D11" s="56"/>
      <c r="E11" s="57"/>
      <c r="F11" s="55"/>
      <c r="G11" s="56" t="e">
        <f>D11-#REF!</f>
        <v>#REF!</v>
      </c>
      <c r="H11" s="56" t="e">
        <f>G11/11</f>
        <v>#REF!</v>
      </c>
      <c r="I11" s="57" t="e">
        <f>E11-#REF!</f>
        <v>#REF!</v>
      </c>
      <c r="J11" s="57" t="e">
        <f>I11/11</f>
        <v>#REF!</v>
      </c>
      <c r="K11" s="58" t="e">
        <f>#REF!/C11</f>
        <v>#REF!</v>
      </c>
      <c r="L11" s="59"/>
      <c r="M11" s="60"/>
    </row>
    <row r="12" spans="1:13">
      <c r="A12" s="53">
        <v>109</v>
      </c>
      <c r="B12" s="54" t="s">
        <v>78</v>
      </c>
      <c r="C12" s="55">
        <v>110000</v>
      </c>
      <c r="D12" s="56">
        <f>C12*1.12</f>
        <v>123200.00000000001</v>
      </c>
      <c r="E12" s="57">
        <f>C12*1.3</f>
        <v>143000</v>
      </c>
      <c r="F12" s="102">
        <v>61886.97</v>
      </c>
      <c r="G12" s="55">
        <f>C12-F12</f>
        <v>48113.03</v>
      </c>
      <c r="H12" s="55">
        <f>G12/11</f>
        <v>4373.9118181818185</v>
      </c>
      <c r="I12" s="56">
        <f>D12-F12</f>
        <v>61313.030000000013</v>
      </c>
      <c r="J12" s="56">
        <f>I12/11</f>
        <v>5573.9118181818194</v>
      </c>
      <c r="K12" s="57">
        <f>E12-F12</f>
        <v>81113.03</v>
      </c>
      <c r="L12" s="57">
        <f>K12/11</f>
        <v>7373.9118181818185</v>
      </c>
      <c r="M12" s="103">
        <f>F12/C12</f>
        <v>0.56260881818181818</v>
      </c>
    </row>
    <row r="13" spans="1:13" ht="22.8">
      <c r="B13" s="61"/>
      <c r="C13" s="62">
        <f>SUM(C3:C12)</f>
        <v>1094284</v>
      </c>
      <c r="D13" s="62">
        <f>SUM(D3:D12)</f>
        <v>1225598.08</v>
      </c>
      <c r="E13" s="62">
        <f>SUM(E3:E12)</f>
        <v>1422569.2</v>
      </c>
    </row>
    <row r="14" spans="1:13" ht="22.8">
      <c r="B14" s="65"/>
      <c r="C14" s="66"/>
      <c r="D14" s="61"/>
      <c r="E14" s="61"/>
      <c r="G14" s="61"/>
      <c r="H14" s="61"/>
      <c r="I14" s="61"/>
      <c r="J14" s="61"/>
      <c r="L14" s="58">
        <f>F13/C12</f>
        <v>0</v>
      </c>
      <c r="M14" s="61"/>
    </row>
    <row r="15" spans="1:13">
      <c r="E15" s="105">
        <v>791620.54</v>
      </c>
      <c r="F15" s="104">
        <v>0.72340000000000004</v>
      </c>
    </row>
  </sheetData>
  <autoFilter ref="A1:M14" xr:uid="{52317B1D-03CB-411C-AAC6-92508979C4C1}">
    <sortState xmlns:xlrd2="http://schemas.microsoft.com/office/spreadsheetml/2017/richdata2" ref="A2:M14">
      <sortCondition descending="1" ref="M1:M14"/>
    </sortState>
  </autoFilter>
  <conditionalFormatting sqref="F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00B050"/>
      </colorScale>
    </cfRule>
    <cfRule type="colorScale" priority="3">
      <colorScale>
        <cfvo type="min"/>
        <cfvo type="max"/>
        <color rgb="FFFFEF9C"/>
        <color rgb="FF63BE7B"/>
      </colorScale>
    </cfRule>
  </conditionalFormatting>
  <conditionalFormatting sqref="M2:M9 L14 K10:K11">
    <cfRule type="colorScale" priority="6">
      <colorScale>
        <cfvo type="min"/>
        <cfvo type="max"/>
        <color rgb="FFFFEF9C"/>
        <color rgb="FF63BE7B"/>
      </colorScale>
    </cfRule>
  </conditionalFormatting>
  <conditionalFormatting sqref="M2:M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max"/>
        <color rgb="FFFF7128"/>
        <color rgb="FF00B050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A77F-B0F3-46AB-A254-52EF573D5D85}">
  <dimension ref="A2:AB56"/>
  <sheetViews>
    <sheetView zoomScale="82" zoomScaleNormal="82" workbookViewId="0">
      <selection activeCell="D5" sqref="D5"/>
    </sheetView>
  </sheetViews>
  <sheetFormatPr defaultRowHeight="14.4"/>
  <cols>
    <col min="1" max="1" width="10.109375" bestFit="1" customWidth="1"/>
    <col min="2" max="2" width="24.88671875" bestFit="1" customWidth="1"/>
    <col min="3" max="3" width="29" bestFit="1" customWidth="1"/>
    <col min="4" max="4" width="18.6640625" bestFit="1" customWidth="1"/>
    <col min="5" max="5" width="17.6640625" bestFit="1" customWidth="1"/>
    <col min="6" max="6" width="27.88671875" customWidth="1"/>
    <col min="7" max="7" width="18.6640625" customWidth="1"/>
    <col min="8" max="8" width="17.109375" customWidth="1"/>
    <col min="9" max="9" width="13.6640625" hidden="1" customWidth="1"/>
    <col min="10" max="10" width="17" customWidth="1"/>
    <col min="11" max="11" width="18" customWidth="1"/>
    <col min="12" max="12" width="44.44140625" bestFit="1" customWidth="1"/>
    <col min="13" max="14" width="18.109375" customWidth="1"/>
    <col min="15" max="15" width="13.6640625" bestFit="1" customWidth="1"/>
    <col min="16" max="16" width="15.33203125" customWidth="1"/>
    <col min="17" max="17" width="7.88671875" customWidth="1"/>
    <col min="19" max="19" width="30.44140625" bestFit="1" customWidth="1"/>
    <col min="20" max="20" width="15.6640625" customWidth="1"/>
    <col min="21" max="21" width="17.33203125" customWidth="1"/>
    <col min="22" max="22" width="15.6640625" customWidth="1"/>
    <col min="23" max="23" width="13.33203125" customWidth="1"/>
    <col min="24" max="24" width="15.6640625" customWidth="1"/>
    <col min="25" max="25" width="16.44140625" customWidth="1"/>
    <col min="26" max="26" width="15.6640625" customWidth="1"/>
    <col min="27" max="27" width="13" customWidth="1"/>
    <col min="28" max="28" width="15.6640625" customWidth="1"/>
  </cols>
  <sheetData>
    <row r="2" spans="2:17" ht="17.399999999999999">
      <c r="B2" s="172" t="s">
        <v>90</v>
      </c>
      <c r="C2" s="173"/>
      <c r="D2" s="172" t="s">
        <v>1</v>
      </c>
      <c r="E2" s="174"/>
      <c r="F2" s="174"/>
      <c r="G2" s="174"/>
      <c r="H2" s="174"/>
      <c r="I2" s="173"/>
      <c r="J2" s="1"/>
    </row>
    <row r="3" spans="2:17" ht="15.6">
      <c r="B3" s="69" t="s">
        <v>2</v>
      </c>
      <c r="C3" s="70" t="s">
        <v>3</v>
      </c>
      <c r="D3" s="71" t="s">
        <v>4</v>
      </c>
      <c r="E3" s="72" t="s">
        <v>5</v>
      </c>
      <c r="F3" s="72" t="s">
        <v>6</v>
      </c>
      <c r="G3" s="72" t="s">
        <v>7</v>
      </c>
      <c r="H3" s="72" t="s">
        <v>8</v>
      </c>
      <c r="I3" s="2" t="s">
        <v>9</v>
      </c>
      <c r="J3" s="3" t="s">
        <v>10</v>
      </c>
      <c r="L3" s="175" t="s">
        <v>11</v>
      </c>
      <c r="M3" s="175"/>
      <c r="N3" s="175"/>
    </row>
    <row r="4" spans="2:17" ht="15.6">
      <c r="B4" s="78" t="s">
        <v>12</v>
      </c>
      <c r="C4" s="79"/>
      <c r="D4" s="80">
        <v>104672</v>
      </c>
      <c r="E4" s="80">
        <v>117232.64</v>
      </c>
      <c r="F4" s="80">
        <v>136073.60000000001</v>
      </c>
      <c r="G4" s="81">
        <f>E4*1.3</f>
        <v>152402.432</v>
      </c>
      <c r="H4" s="82">
        <f>C4-D4</f>
        <v>-104672</v>
      </c>
      <c r="I4" s="68">
        <f>C4/D4</f>
        <v>0</v>
      </c>
      <c r="J4" s="6">
        <f>C4-E4</f>
        <v>-117232.64</v>
      </c>
      <c r="L4" s="7" t="s">
        <v>5</v>
      </c>
      <c r="M4" s="8" t="s">
        <v>6</v>
      </c>
      <c r="N4" s="9" t="s">
        <v>13</v>
      </c>
      <c r="O4" s="10" t="s">
        <v>14</v>
      </c>
      <c r="P4" s="10" t="s">
        <v>15</v>
      </c>
      <c r="Q4" s="10" t="s">
        <v>16</v>
      </c>
    </row>
    <row r="5" spans="2:17" ht="15.6">
      <c r="B5" s="78" t="s">
        <v>17</v>
      </c>
      <c r="C5" s="79"/>
      <c r="D5" s="83">
        <v>0</v>
      </c>
      <c r="E5" s="83">
        <v>0</v>
      </c>
      <c r="F5" s="83">
        <f t="shared" ref="F5" si="0">E5*1.12</f>
        <v>0</v>
      </c>
      <c r="G5" s="83">
        <f t="shared" ref="G5:G13" si="1">E5*1.3</f>
        <v>0</v>
      </c>
      <c r="H5" s="83">
        <f t="shared" ref="H5:H13" si="2">C5-D5</f>
        <v>0</v>
      </c>
      <c r="I5" s="68" t="e">
        <f t="shared" ref="I5:I14" si="3">C5/D5</f>
        <v>#DIV/0!</v>
      </c>
      <c r="J5" s="6">
        <f t="shared" ref="J5:J11" si="4">C5-E5</f>
        <v>0</v>
      </c>
      <c r="L5" s="4">
        <v>0</v>
      </c>
      <c r="M5" s="5">
        <f>L5*1.12</f>
        <v>0</v>
      </c>
      <c r="N5" s="11">
        <f>L5*1.3</f>
        <v>0</v>
      </c>
      <c r="O5" s="12">
        <v>0.4</v>
      </c>
      <c r="P5" s="13">
        <v>0.35</v>
      </c>
      <c r="Q5" s="14">
        <v>0.25</v>
      </c>
    </row>
    <row r="6" spans="2:17" ht="15.6">
      <c r="B6" s="78" t="s">
        <v>18</v>
      </c>
      <c r="C6" s="79"/>
      <c r="D6" s="80">
        <v>120000</v>
      </c>
      <c r="E6" s="80">
        <v>134400</v>
      </c>
      <c r="F6" s="80">
        <v>156000</v>
      </c>
      <c r="G6" s="81">
        <f t="shared" si="1"/>
        <v>174720</v>
      </c>
      <c r="H6" s="82">
        <f t="shared" si="2"/>
        <v>-120000</v>
      </c>
      <c r="I6" s="68">
        <f t="shared" si="3"/>
        <v>0</v>
      </c>
      <c r="J6" s="6">
        <f t="shared" si="4"/>
        <v>-134400</v>
      </c>
      <c r="L6" s="15"/>
      <c r="M6" s="15"/>
      <c r="N6" s="16"/>
      <c r="O6" s="17" t="s">
        <v>19</v>
      </c>
      <c r="P6" s="18" t="s">
        <v>20</v>
      </c>
      <c r="Q6" s="19" t="s">
        <v>21</v>
      </c>
    </row>
    <row r="7" spans="2:17" ht="15.6">
      <c r="B7" s="78" t="s">
        <v>22</v>
      </c>
      <c r="C7" s="79"/>
      <c r="D7" s="80">
        <v>101199</v>
      </c>
      <c r="E7" s="80">
        <v>113342.88</v>
      </c>
      <c r="F7" s="80">
        <v>131558.70000000001</v>
      </c>
      <c r="G7" s="81">
        <f t="shared" si="1"/>
        <v>147345.74400000001</v>
      </c>
      <c r="H7" s="82">
        <f t="shared" si="2"/>
        <v>-101199</v>
      </c>
      <c r="I7" s="68">
        <f t="shared" si="3"/>
        <v>0</v>
      </c>
      <c r="J7" s="6">
        <f t="shared" si="4"/>
        <v>-113342.88</v>
      </c>
      <c r="L7" s="20"/>
      <c r="M7" s="20"/>
      <c r="N7" s="21"/>
      <c r="O7" s="22">
        <v>0</v>
      </c>
      <c r="P7" s="22">
        <v>0</v>
      </c>
      <c r="Q7" s="22">
        <v>0</v>
      </c>
    </row>
    <row r="8" spans="2:17" ht="15.6">
      <c r="B8" s="78" t="s">
        <v>23</v>
      </c>
      <c r="C8" s="79"/>
      <c r="D8" s="80">
        <v>205272</v>
      </c>
      <c r="E8" s="80">
        <v>229904.64000000001</v>
      </c>
      <c r="F8" s="80">
        <v>266853.59999999998</v>
      </c>
      <c r="G8" s="81">
        <f t="shared" si="1"/>
        <v>298876.03200000001</v>
      </c>
      <c r="H8" s="82">
        <f t="shared" si="2"/>
        <v>-205272</v>
      </c>
      <c r="I8" s="68">
        <f t="shared" si="3"/>
        <v>0</v>
      </c>
      <c r="J8" s="6">
        <f t="shared" si="4"/>
        <v>-229904.64000000001</v>
      </c>
      <c r="L8" s="176" t="s">
        <v>24</v>
      </c>
      <c r="M8" s="176"/>
      <c r="N8" s="177"/>
    </row>
    <row r="9" spans="2:17" ht="15.6">
      <c r="B9" s="78" t="s">
        <v>25</v>
      </c>
      <c r="C9" s="79"/>
      <c r="D9" s="80">
        <v>110000</v>
      </c>
      <c r="E9" s="80">
        <v>123200</v>
      </c>
      <c r="F9" s="80">
        <v>143000</v>
      </c>
      <c r="G9" s="81">
        <f t="shared" si="1"/>
        <v>160160</v>
      </c>
      <c r="H9" s="82">
        <f t="shared" si="2"/>
        <v>-110000</v>
      </c>
      <c r="I9" s="68">
        <f t="shared" si="3"/>
        <v>0</v>
      </c>
      <c r="J9" s="6">
        <f t="shared" si="4"/>
        <v>-123200</v>
      </c>
      <c r="L9" s="20"/>
      <c r="M9" s="20"/>
      <c r="N9" s="21"/>
    </row>
    <row r="10" spans="2:17" ht="15.6">
      <c r="B10" s="78" t="s">
        <v>26</v>
      </c>
      <c r="C10" s="79"/>
      <c r="D10" s="80">
        <v>180000</v>
      </c>
      <c r="E10" s="80">
        <v>201600</v>
      </c>
      <c r="F10" s="80">
        <v>234000</v>
      </c>
      <c r="G10" s="81">
        <f t="shared" si="1"/>
        <v>262080</v>
      </c>
      <c r="H10" s="82">
        <f t="shared" si="2"/>
        <v>-180000</v>
      </c>
      <c r="I10" s="68">
        <f t="shared" si="3"/>
        <v>0</v>
      </c>
      <c r="J10" s="6">
        <f t="shared" si="4"/>
        <v>-201600</v>
      </c>
      <c r="L10" s="163" t="s">
        <v>27</v>
      </c>
      <c r="M10" s="163" t="s">
        <v>28</v>
      </c>
      <c r="N10" s="164" t="s">
        <v>29</v>
      </c>
    </row>
    <row r="11" spans="2:17" ht="15.6">
      <c r="B11" s="78" t="s">
        <v>30</v>
      </c>
      <c r="C11" s="79"/>
      <c r="D11" s="80">
        <v>141778</v>
      </c>
      <c r="E11" s="80">
        <v>158791.35999999999</v>
      </c>
      <c r="F11" s="80">
        <v>184311.4</v>
      </c>
      <c r="G11" s="81">
        <f t="shared" si="1"/>
        <v>206428.76799999998</v>
      </c>
      <c r="H11" s="82">
        <f t="shared" si="2"/>
        <v>-141778</v>
      </c>
      <c r="I11" s="68">
        <f t="shared" si="3"/>
        <v>0</v>
      </c>
      <c r="J11" s="6">
        <f t="shared" si="4"/>
        <v>-158791.35999999999</v>
      </c>
      <c r="L11" s="23">
        <v>8.0000000000000002E-3</v>
      </c>
      <c r="M11" s="24">
        <v>0.01</v>
      </c>
      <c r="N11" s="25">
        <v>1.2E-2</v>
      </c>
    </row>
    <row r="12" spans="2:17" ht="15.6">
      <c r="B12" s="83" t="s">
        <v>31</v>
      </c>
      <c r="C12" s="79"/>
      <c r="D12" s="80">
        <v>120000</v>
      </c>
      <c r="E12" s="80">
        <v>134400</v>
      </c>
      <c r="F12" s="80">
        <v>156000</v>
      </c>
      <c r="G12" s="81">
        <f t="shared" si="1"/>
        <v>174720</v>
      </c>
      <c r="H12" s="82">
        <f t="shared" si="2"/>
        <v>-120000</v>
      </c>
      <c r="I12" s="68"/>
      <c r="J12" s="6"/>
      <c r="L12" s="23"/>
      <c r="M12" s="24"/>
      <c r="N12" s="25"/>
    </row>
    <row r="13" spans="2:17" ht="15.6">
      <c r="B13" s="83" t="s">
        <v>32</v>
      </c>
      <c r="C13" s="79"/>
      <c r="D13" s="80">
        <v>140000</v>
      </c>
      <c r="E13" s="80">
        <v>156800</v>
      </c>
      <c r="F13" s="80">
        <v>182000</v>
      </c>
      <c r="G13" s="81">
        <f t="shared" si="1"/>
        <v>203840</v>
      </c>
      <c r="H13" s="82">
        <f t="shared" si="2"/>
        <v>-140000</v>
      </c>
      <c r="I13" s="68"/>
      <c r="J13" s="6"/>
      <c r="L13" s="23"/>
      <c r="M13" s="24"/>
      <c r="N13" s="25"/>
    </row>
    <row r="14" spans="2:17" ht="20.399999999999999">
      <c r="B14" s="73" t="s">
        <v>33</v>
      </c>
      <c r="C14" s="74">
        <f>SUM(C4:C11)</f>
        <v>0</v>
      </c>
      <c r="D14" s="74">
        <f>SUM(D4:D11)</f>
        <v>962921</v>
      </c>
      <c r="E14" s="75">
        <f>SUM(E4:E13)</f>
        <v>1369671.52</v>
      </c>
      <c r="F14" s="76">
        <f>SUM(F4:F13)</f>
        <v>1589797.2999999998</v>
      </c>
      <c r="G14" s="76">
        <f>SUM(G4:G13)</f>
        <v>1780572.976</v>
      </c>
      <c r="H14" s="77">
        <f>C14-D14</f>
        <v>-962921</v>
      </c>
      <c r="I14" s="26">
        <f t="shared" si="3"/>
        <v>0</v>
      </c>
      <c r="J14" s="27">
        <f>SUM(J4:J11)</f>
        <v>-1078471.52</v>
      </c>
      <c r="L14" s="20"/>
      <c r="M14" s="20"/>
      <c r="N14" s="21"/>
      <c r="O14" s="28"/>
      <c r="P14" s="29" t="s">
        <v>34</v>
      </c>
      <c r="Q14" s="30"/>
    </row>
    <row r="15" spans="2:17" ht="20.399999999999999">
      <c r="L15" s="176" t="s">
        <v>35</v>
      </c>
      <c r="M15" s="176"/>
      <c r="N15" s="177"/>
      <c r="O15" s="28"/>
      <c r="P15" s="29" t="s">
        <v>36</v>
      </c>
      <c r="Q15" s="30"/>
    </row>
    <row r="16" spans="2:17" ht="20.399999999999999">
      <c r="L16" s="20"/>
      <c r="M16" s="20"/>
      <c r="N16" s="21"/>
      <c r="O16" s="28"/>
      <c r="P16" s="29" t="s">
        <v>37</v>
      </c>
      <c r="Q16" s="30"/>
    </row>
    <row r="17" spans="1:28" ht="20.399999999999999">
      <c r="B17" s="31" t="s">
        <v>38</v>
      </c>
      <c r="C17" s="32">
        <v>2025</v>
      </c>
      <c r="D17" s="32">
        <v>2025</v>
      </c>
      <c r="E17" s="33">
        <f>E14*0.2%</f>
        <v>2739.3430400000002</v>
      </c>
      <c r="F17" s="33">
        <f>F14*0.2%</f>
        <v>3179.5945999999999</v>
      </c>
      <c r="G17" s="33">
        <f>G14*0.2%</f>
        <v>3561.1459520000003</v>
      </c>
      <c r="L17" s="170" t="s">
        <v>39</v>
      </c>
      <c r="M17" s="170"/>
      <c r="N17" s="171"/>
      <c r="O17" s="28"/>
      <c r="P17" s="29" t="s">
        <v>40</v>
      </c>
      <c r="Q17" s="30"/>
    </row>
    <row r="18" spans="1:28" ht="15.6">
      <c r="B18" s="34" t="s">
        <v>41</v>
      </c>
      <c r="C18" s="35">
        <v>26</v>
      </c>
      <c r="D18" s="35">
        <v>26</v>
      </c>
      <c r="F18" t="s">
        <v>42</v>
      </c>
      <c r="L18" s="170" t="s">
        <v>43</v>
      </c>
      <c r="M18" s="170"/>
      <c r="N18" s="171"/>
    </row>
    <row r="19" spans="1:28" ht="15.6">
      <c r="B19" s="34" t="s">
        <v>44</v>
      </c>
      <c r="C19" s="35">
        <v>25</v>
      </c>
      <c r="D19" s="35">
        <v>25</v>
      </c>
    </row>
    <row r="20" spans="1:28" ht="20.399999999999999">
      <c r="B20" s="34" t="s">
        <v>45</v>
      </c>
      <c r="C20" s="35">
        <v>26</v>
      </c>
      <c r="D20" s="35">
        <v>26</v>
      </c>
      <c r="L20" s="36" t="s">
        <v>46</v>
      </c>
      <c r="M20" s="37"/>
      <c r="N20" s="37"/>
    </row>
    <row r="21" spans="1:28" ht="15.6">
      <c r="B21" s="34" t="s">
        <v>47</v>
      </c>
      <c r="C21" s="35">
        <v>25</v>
      </c>
      <c r="D21" s="35">
        <v>25</v>
      </c>
    </row>
    <row r="22" spans="1:28" ht="15.6">
      <c r="B22" s="34" t="s">
        <v>48</v>
      </c>
      <c r="C22" s="35">
        <v>25</v>
      </c>
      <c r="D22" s="35">
        <v>25</v>
      </c>
      <c r="M22" s="49"/>
    </row>
    <row r="23" spans="1:28" ht="15.6">
      <c r="B23" s="34"/>
      <c r="C23" s="35"/>
      <c r="D23" s="35"/>
      <c r="F23" s="38" t="s">
        <v>49</v>
      </c>
      <c r="G23" s="39"/>
      <c r="H23" s="40" t="s">
        <v>50</v>
      </c>
    </row>
    <row r="24" spans="1:28" ht="15.6">
      <c r="B24" s="34"/>
      <c r="C24" s="35"/>
      <c r="D24" s="35"/>
      <c r="F24" s="41" t="s">
        <v>51</v>
      </c>
      <c r="G24" s="42"/>
      <c r="H24" s="43">
        <v>120</v>
      </c>
    </row>
    <row r="25" spans="1:28" ht="15.6">
      <c r="B25" s="44"/>
      <c r="C25" s="35"/>
      <c r="D25" s="35"/>
      <c r="F25" s="41" t="s">
        <v>52</v>
      </c>
      <c r="G25" s="42"/>
      <c r="H25" s="43">
        <v>3</v>
      </c>
      <c r="M25" s="45"/>
      <c r="N25" s="46" t="s">
        <v>53</v>
      </c>
    </row>
    <row r="26" spans="1:28">
      <c r="F26" s="41" t="s">
        <v>54</v>
      </c>
      <c r="G26" s="42"/>
      <c r="H26" s="43">
        <v>40</v>
      </c>
      <c r="M26" s="47"/>
      <c r="N26" s="46" t="s">
        <v>55</v>
      </c>
    </row>
    <row r="27" spans="1:28">
      <c r="F27" s="41" t="s">
        <v>56</v>
      </c>
      <c r="G27" s="42"/>
      <c r="H27" s="48">
        <v>0.41</v>
      </c>
      <c r="M27" s="49"/>
      <c r="N27" s="46" t="s">
        <v>57</v>
      </c>
    </row>
    <row r="29" spans="1:28">
      <c r="A29" s="50" t="s">
        <v>58</v>
      </c>
      <c r="B29" s="50" t="s">
        <v>59</v>
      </c>
      <c r="C29" s="50" t="s">
        <v>60</v>
      </c>
      <c r="D29" s="50" t="s">
        <v>61</v>
      </c>
      <c r="E29" s="50" t="s">
        <v>62</v>
      </c>
      <c r="F29" s="50" t="s">
        <v>63</v>
      </c>
      <c r="G29" s="50" t="s">
        <v>60</v>
      </c>
      <c r="H29" s="51" t="s">
        <v>64</v>
      </c>
      <c r="I29" s="50" t="s">
        <v>61</v>
      </c>
      <c r="J29" s="51" t="s">
        <v>65</v>
      </c>
      <c r="K29" s="50" t="s">
        <v>62</v>
      </c>
      <c r="L29" s="51" t="s">
        <v>66</v>
      </c>
      <c r="M29" s="50" t="s">
        <v>67</v>
      </c>
      <c r="N29" s="52" t="s">
        <v>68</v>
      </c>
      <c r="O29" s="52" t="s">
        <v>51</v>
      </c>
      <c r="P29" s="52" t="s">
        <v>54</v>
      </c>
      <c r="Q29" s="52" t="s">
        <v>69</v>
      </c>
      <c r="S29" s="178" t="s">
        <v>70</v>
      </c>
      <c r="T29" s="179"/>
      <c r="U29" s="179"/>
      <c r="V29" s="179"/>
      <c r="W29" s="179"/>
      <c r="X29" s="179"/>
      <c r="Y29" s="179"/>
      <c r="Z29" s="179"/>
      <c r="AA29" s="179"/>
      <c r="AB29" s="180"/>
    </row>
    <row r="30" spans="1:28">
      <c r="A30" s="53">
        <v>236</v>
      </c>
      <c r="B30" s="54" t="s">
        <v>85</v>
      </c>
      <c r="C30" s="55">
        <v>91449</v>
      </c>
      <c r="D30" s="56">
        <f t="shared" ref="D30:D37" si="5">C30*1.12</f>
        <v>102422.88</v>
      </c>
      <c r="E30" s="57">
        <f t="shared" ref="E30:E39" si="6">C30*1.3</f>
        <v>118883.7</v>
      </c>
      <c r="F30" s="106">
        <v>127108.93</v>
      </c>
      <c r="G30" s="55">
        <f t="shared" ref="G30:G38" si="7">C30-F30</f>
        <v>-35659.929999999993</v>
      </c>
      <c r="H30" s="55">
        <f>G30/9</f>
        <v>-3962.2144444444439</v>
      </c>
      <c r="I30" s="56">
        <f>D30-F30</f>
        <v>-24686.049999999988</v>
      </c>
      <c r="J30" s="56">
        <f>I30/9</f>
        <v>-2742.8944444444433</v>
      </c>
      <c r="K30" s="57">
        <f>E30-F30</f>
        <v>-8225.2299999999959</v>
      </c>
      <c r="L30" s="57">
        <f>K30/9</f>
        <v>-913.91444444444403</v>
      </c>
      <c r="M30" s="58">
        <f t="shared" ref="M30:M38" si="8">F30/C30</f>
        <v>1.3899433564063028</v>
      </c>
      <c r="N30" s="59"/>
      <c r="O30" s="59"/>
      <c r="P30" s="60"/>
      <c r="Q30" s="59"/>
      <c r="S30" s="88" t="s">
        <v>2</v>
      </c>
      <c r="T30" s="89">
        <v>0.2</v>
      </c>
      <c r="U30" s="89" t="s">
        <v>72</v>
      </c>
      <c r="V30" s="89">
        <v>0.3</v>
      </c>
      <c r="W30" s="89" t="s">
        <v>72</v>
      </c>
      <c r="X30" s="89">
        <v>0.26</v>
      </c>
      <c r="Y30" s="89" t="s">
        <v>72</v>
      </c>
      <c r="Z30" s="89">
        <v>0.24</v>
      </c>
      <c r="AA30" s="89" t="s">
        <v>72</v>
      </c>
      <c r="AB30" s="88" t="s">
        <v>73</v>
      </c>
    </row>
    <row r="31" spans="1:28">
      <c r="A31" s="53">
        <v>363</v>
      </c>
      <c r="B31" s="54" t="s">
        <v>87</v>
      </c>
      <c r="C31" s="55">
        <v>155000</v>
      </c>
      <c r="D31" s="56">
        <f t="shared" si="5"/>
        <v>173600.00000000003</v>
      </c>
      <c r="E31" s="57">
        <f t="shared" si="6"/>
        <v>201500</v>
      </c>
      <c r="F31" s="106">
        <v>211346.6</v>
      </c>
      <c r="G31" s="55">
        <f t="shared" si="7"/>
        <v>-56346.600000000006</v>
      </c>
      <c r="H31" s="55">
        <f>G31/9</f>
        <v>-6260.7333333333336</v>
      </c>
      <c r="I31" s="56">
        <f>D31-F31</f>
        <v>-37746.599999999977</v>
      </c>
      <c r="J31" s="56">
        <f>I31/9</f>
        <v>-4194.0666666666639</v>
      </c>
      <c r="K31" s="57">
        <f>E31-F31</f>
        <v>-9846.6000000000058</v>
      </c>
      <c r="L31" s="57">
        <f>K31/9</f>
        <v>-1094.0666666666673</v>
      </c>
      <c r="M31" s="58">
        <f t="shared" si="8"/>
        <v>1.3635264516129033</v>
      </c>
      <c r="N31" s="59"/>
      <c r="O31" s="59"/>
      <c r="P31" s="60"/>
      <c r="Q31" s="59"/>
      <c r="S31" s="86" t="s">
        <v>75</v>
      </c>
      <c r="T31" s="94">
        <v>24000</v>
      </c>
      <c r="U31" s="96">
        <v>22141.14</v>
      </c>
      <c r="V31" s="94">
        <v>36000</v>
      </c>
      <c r="W31" s="96">
        <v>33484.230000000003</v>
      </c>
      <c r="X31" s="94">
        <v>31200</v>
      </c>
      <c r="Y31" s="91">
        <v>38619.089999999997</v>
      </c>
      <c r="Z31" s="94">
        <v>28800</v>
      </c>
      <c r="AA31" s="87"/>
      <c r="AB31" s="94">
        <v>120000</v>
      </c>
    </row>
    <row r="32" spans="1:28">
      <c r="A32" s="53">
        <v>1017</v>
      </c>
      <c r="B32" s="54" t="s">
        <v>74</v>
      </c>
      <c r="C32" s="55">
        <v>167493</v>
      </c>
      <c r="D32" s="56">
        <f t="shared" si="5"/>
        <v>187592.16</v>
      </c>
      <c r="E32" s="57">
        <f t="shared" si="6"/>
        <v>217740.9</v>
      </c>
      <c r="F32" s="106">
        <v>210418.91</v>
      </c>
      <c r="G32" s="55">
        <f t="shared" si="7"/>
        <v>-42925.91</v>
      </c>
      <c r="H32" s="55">
        <f>G32/9</f>
        <v>-4769.5455555555563</v>
      </c>
      <c r="I32" s="56"/>
      <c r="J32" s="56"/>
      <c r="K32" s="57"/>
      <c r="L32" s="57"/>
      <c r="M32" s="58">
        <f t="shared" si="8"/>
        <v>1.2562847999617894</v>
      </c>
      <c r="N32" s="59"/>
      <c r="O32" s="59"/>
      <c r="P32" s="60"/>
      <c r="Q32" s="59"/>
      <c r="S32" s="86" t="s">
        <v>77</v>
      </c>
      <c r="T32" s="94">
        <v>36000</v>
      </c>
      <c r="U32" s="96">
        <v>35476.78</v>
      </c>
      <c r="V32" s="94">
        <v>54000</v>
      </c>
      <c r="W32" s="96">
        <v>43882.59</v>
      </c>
      <c r="X32" s="94">
        <v>46800</v>
      </c>
      <c r="Y32" s="96">
        <v>45071.32</v>
      </c>
      <c r="Z32" s="94">
        <v>43200</v>
      </c>
      <c r="AA32" s="87"/>
      <c r="AB32" s="94">
        <v>180000</v>
      </c>
    </row>
    <row r="33" spans="1:28">
      <c r="A33" s="53">
        <v>157</v>
      </c>
      <c r="B33" s="54" t="s">
        <v>76</v>
      </c>
      <c r="C33" s="55">
        <v>152920</v>
      </c>
      <c r="D33" s="56">
        <f t="shared" si="5"/>
        <v>171270.40000000002</v>
      </c>
      <c r="E33" s="57">
        <f t="shared" si="6"/>
        <v>198796</v>
      </c>
      <c r="F33" s="106">
        <v>189167.41</v>
      </c>
      <c r="G33" s="55">
        <f t="shared" si="7"/>
        <v>-36247.410000000003</v>
      </c>
      <c r="H33" s="55">
        <f>G33/10</f>
        <v>-3624.7410000000004</v>
      </c>
      <c r="I33" s="56">
        <f t="shared" ref="I33:I38" si="9">D33-F33</f>
        <v>-17897.00999999998</v>
      </c>
      <c r="J33" s="56">
        <f>I33/10</f>
        <v>-1789.700999999998</v>
      </c>
      <c r="K33" s="57">
        <f t="shared" ref="K33:K38" si="10">E33-F33</f>
        <v>9628.5899999999965</v>
      </c>
      <c r="L33" s="57">
        <f>K33/10</f>
        <v>962.8589999999997</v>
      </c>
      <c r="M33" s="58">
        <f t="shared" si="8"/>
        <v>1.2370351164007325</v>
      </c>
      <c r="N33" s="59"/>
      <c r="O33" s="59"/>
      <c r="P33" s="60"/>
      <c r="Q33" s="59"/>
      <c r="S33" s="86" t="s">
        <v>79</v>
      </c>
      <c r="T33" s="94">
        <v>20934.400000000001</v>
      </c>
      <c r="U33" s="91">
        <v>22209.09</v>
      </c>
      <c r="V33" s="94">
        <v>31401.599999999999</v>
      </c>
      <c r="W33" s="91">
        <v>33505.03</v>
      </c>
      <c r="X33" s="94">
        <v>27214.720000000001</v>
      </c>
      <c r="Y33" s="91">
        <v>52283.55</v>
      </c>
      <c r="Z33" s="94">
        <v>25121.279999999999</v>
      </c>
      <c r="AA33" s="87"/>
      <c r="AB33" s="94">
        <v>104672</v>
      </c>
    </row>
    <row r="34" spans="1:28">
      <c r="A34" s="53">
        <v>257</v>
      </c>
      <c r="B34" s="54" t="s">
        <v>71</v>
      </c>
      <c r="C34" s="55">
        <v>150000</v>
      </c>
      <c r="D34" s="56">
        <f t="shared" si="5"/>
        <v>168000.00000000003</v>
      </c>
      <c r="E34" s="57">
        <f t="shared" si="6"/>
        <v>195000</v>
      </c>
      <c r="F34" s="106">
        <v>160893.47</v>
      </c>
      <c r="G34" s="55">
        <f t="shared" si="7"/>
        <v>-10893.470000000001</v>
      </c>
      <c r="H34" s="55">
        <f>G34/10</f>
        <v>-1089.3470000000002</v>
      </c>
      <c r="I34" s="56">
        <f t="shared" si="9"/>
        <v>7106.5300000000279</v>
      </c>
      <c r="J34" s="56">
        <f>I34/11</f>
        <v>646.04818181818439</v>
      </c>
      <c r="K34" s="57">
        <f t="shared" si="10"/>
        <v>34106.53</v>
      </c>
      <c r="L34" s="57">
        <f>K34/11</f>
        <v>3100.5936363636361</v>
      </c>
      <c r="M34" s="58">
        <f t="shared" si="8"/>
        <v>1.0726231333333334</v>
      </c>
      <c r="N34" s="59"/>
      <c r="O34" s="59"/>
      <c r="P34" s="60"/>
      <c r="Q34" s="59"/>
      <c r="S34" s="86" t="s">
        <v>81</v>
      </c>
      <c r="T34" s="94">
        <v>41054.400000000001</v>
      </c>
      <c r="U34" s="96">
        <v>33343.33</v>
      </c>
      <c r="V34" s="94">
        <v>61581.599999999999</v>
      </c>
      <c r="W34" s="96">
        <v>43769.22</v>
      </c>
      <c r="X34" s="94">
        <v>53370.720000000001</v>
      </c>
      <c r="Y34" s="96">
        <v>35643.74</v>
      </c>
      <c r="Z34" s="94">
        <v>49265.279999999999</v>
      </c>
      <c r="AA34" s="87"/>
      <c r="AB34" s="94">
        <v>205272</v>
      </c>
    </row>
    <row r="35" spans="1:28">
      <c r="A35" s="53">
        <v>109</v>
      </c>
      <c r="B35" s="54" t="s">
        <v>78</v>
      </c>
      <c r="C35" s="55">
        <v>103829</v>
      </c>
      <c r="D35" s="56">
        <f t="shared" si="5"/>
        <v>116288.48000000001</v>
      </c>
      <c r="E35" s="57">
        <f t="shared" si="6"/>
        <v>134977.70000000001</v>
      </c>
      <c r="F35" s="106">
        <v>111317.47</v>
      </c>
      <c r="G35" s="55">
        <f t="shared" si="7"/>
        <v>-7488.4700000000012</v>
      </c>
      <c r="H35" s="55">
        <f>G35/11</f>
        <v>-680.7700000000001</v>
      </c>
      <c r="I35" s="56">
        <f t="shared" si="9"/>
        <v>4971.0100000000093</v>
      </c>
      <c r="J35" s="56">
        <f>I35/11</f>
        <v>451.91000000000082</v>
      </c>
      <c r="K35" s="57">
        <f t="shared" si="10"/>
        <v>23660.23000000001</v>
      </c>
      <c r="L35" s="57">
        <f>K35/11</f>
        <v>2150.9300000000007</v>
      </c>
      <c r="M35" s="58">
        <f t="shared" si="8"/>
        <v>1.0721231062612564</v>
      </c>
      <c r="N35" s="59"/>
      <c r="O35" s="59"/>
      <c r="P35" s="60"/>
      <c r="Q35" s="59"/>
      <c r="S35" s="86" t="s">
        <v>83</v>
      </c>
      <c r="T35" s="94">
        <v>20239.8</v>
      </c>
      <c r="U35" s="91">
        <v>21331.22</v>
      </c>
      <c r="V35" s="94">
        <v>30359.7</v>
      </c>
      <c r="W35" s="96">
        <v>24653.439999999999</v>
      </c>
      <c r="X35" s="94">
        <v>26311.74</v>
      </c>
      <c r="Y35" s="91">
        <v>32312.55</v>
      </c>
      <c r="Z35" s="94">
        <v>24287.759999999998</v>
      </c>
      <c r="AA35" s="87"/>
      <c r="AB35" s="94">
        <v>101199</v>
      </c>
    </row>
    <row r="36" spans="1:28">
      <c r="A36" s="53">
        <v>997</v>
      </c>
      <c r="B36" s="54" t="s">
        <v>82</v>
      </c>
      <c r="C36" s="55">
        <v>155000</v>
      </c>
      <c r="D36" s="56">
        <f t="shared" si="5"/>
        <v>173600.00000000003</v>
      </c>
      <c r="E36" s="57">
        <f t="shared" si="6"/>
        <v>201500</v>
      </c>
      <c r="F36" s="106">
        <v>166004.89000000001</v>
      </c>
      <c r="G36" s="55">
        <f t="shared" si="7"/>
        <v>-11004.890000000014</v>
      </c>
      <c r="H36" s="55">
        <f>G36/10</f>
        <v>-1100.4890000000014</v>
      </c>
      <c r="I36" s="56">
        <f t="shared" si="9"/>
        <v>7595.1100000000151</v>
      </c>
      <c r="J36" s="56"/>
      <c r="K36" s="57">
        <f t="shared" si="10"/>
        <v>35495.109999999986</v>
      </c>
      <c r="L36" s="57"/>
      <c r="M36" s="58">
        <f t="shared" si="8"/>
        <v>1.0709992903225807</v>
      </c>
      <c r="N36" s="59"/>
      <c r="O36" s="59"/>
      <c r="P36" s="60"/>
      <c r="Q36" s="59"/>
      <c r="S36" s="86"/>
      <c r="T36" s="94"/>
      <c r="U36" s="87"/>
      <c r="V36" s="94"/>
      <c r="W36" s="87"/>
      <c r="X36" s="94"/>
      <c r="Y36" s="87"/>
      <c r="Z36" s="94">
        <v>0</v>
      </c>
      <c r="AA36" s="87"/>
      <c r="AB36" s="94">
        <v>0</v>
      </c>
    </row>
    <row r="37" spans="1:28">
      <c r="A37" s="53">
        <v>165</v>
      </c>
      <c r="B37" s="54" t="s">
        <v>84</v>
      </c>
      <c r="C37" s="55">
        <v>180000</v>
      </c>
      <c r="D37" s="56">
        <f t="shared" si="5"/>
        <v>201600.00000000003</v>
      </c>
      <c r="E37" s="57">
        <f t="shared" si="6"/>
        <v>234000</v>
      </c>
      <c r="F37" s="106">
        <v>191891.56</v>
      </c>
      <c r="G37" s="55">
        <f t="shared" si="7"/>
        <v>-11891.559999999998</v>
      </c>
      <c r="H37" s="55">
        <f>G37/10</f>
        <v>-1189.1559999999997</v>
      </c>
      <c r="I37" s="56">
        <f t="shared" si="9"/>
        <v>9708.4400000000314</v>
      </c>
      <c r="J37" s="56">
        <f>I37/10</f>
        <v>970.84400000000312</v>
      </c>
      <c r="K37" s="57">
        <f t="shared" si="10"/>
        <v>42108.44</v>
      </c>
      <c r="L37" s="57">
        <f>K37/10</f>
        <v>4210.8440000000001</v>
      </c>
      <c r="M37" s="58">
        <f t="shared" si="8"/>
        <v>1.0660642222222223</v>
      </c>
      <c r="N37" s="59"/>
      <c r="O37" s="60"/>
      <c r="P37" s="60"/>
      <c r="Q37" s="59"/>
      <c r="S37" s="86" t="s">
        <v>86</v>
      </c>
      <c r="T37" s="94">
        <v>22000</v>
      </c>
      <c r="U37" s="96">
        <v>17332.419999999998</v>
      </c>
      <c r="V37" s="94">
        <v>33000</v>
      </c>
      <c r="W37" s="96">
        <v>31825.58</v>
      </c>
      <c r="X37" s="94">
        <v>28600</v>
      </c>
      <c r="Y37" s="96">
        <v>23189.81</v>
      </c>
      <c r="Z37" s="94">
        <v>26400</v>
      </c>
      <c r="AA37" s="87"/>
      <c r="AB37" s="94">
        <v>110000</v>
      </c>
    </row>
    <row r="38" spans="1:28">
      <c r="A38" s="53">
        <v>117</v>
      </c>
      <c r="B38" s="54" t="s">
        <v>80</v>
      </c>
      <c r="C38" s="55">
        <v>130000</v>
      </c>
      <c r="D38" s="56">
        <v>145600</v>
      </c>
      <c r="E38" s="57">
        <f t="shared" si="6"/>
        <v>169000</v>
      </c>
      <c r="F38" s="106">
        <v>135921.39000000001</v>
      </c>
      <c r="G38" s="55">
        <f t="shared" si="7"/>
        <v>-5921.390000000014</v>
      </c>
      <c r="H38" s="55">
        <f>G38/11</f>
        <v>-538.30818181818313</v>
      </c>
      <c r="I38" s="56">
        <f t="shared" si="9"/>
        <v>9678.609999999986</v>
      </c>
      <c r="J38" s="56">
        <f>I38/11</f>
        <v>879.87363636363511</v>
      </c>
      <c r="K38" s="57">
        <f t="shared" si="10"/>
        <v>33078.609999999986</v>
      </c>
      <c r="L38" s="57">
        <f>K38/11</f>
        <v>3007.1463636363624</v>
      </c>
      <c r="M38" s="58">
        <f t="shared" si="8"/>
        <v>1.0455491538461539</v>
      </c>
      <c r="N38" s="59"/>
      <c r="O38" s="59"/>
      <c r="P38" s="60"/>
      <c r="Q38" s="59"/>
      <c r="S38" s="86" t="s">
        <v>88</v>
      </c>
      <c r="T38" s="94">
        <v>28355.599999999999</v>
      </c>
      <c r="U38" s="90">
        <v>34786.639999999999</v>
      </c>
      <c r="V38" s="94">
        <v>42533.4</v>
      </c>
      <c r="W38" s="91">
        <v>48785.87</v>
      </c>
      <c r="X38" s="94">
        <v>36862.28</v>
      </c>
      <c r="Y38" s="95">
        <v>41722.93</v>
      </c>
      <c r="Z38" s="94">
        <v>34026.720000000001</v>
      </c>
      <c r="AA38" s="87"/>
      <c r="AB38" s="94">
        <v>141778</v>
      </c>
    </row>
    <row r="39" spans="1:28">
      <c r="A39" s="53"/>
      <c r="B39" s="54" t="s">
        <v>89</v>
      </c>
      <c r="C39" s="55"/>
      <c r="D39" s="56">
        <f>C39*1.12</f>
        <v>0</v>
      </c>
      <c r="E39" s="57">
        <f t="shared" si="6"/>
        <v>0</v>
      </c>
      <c r="F39" s="55"/>
      <c r="G39" s="56" t="e">
        <f>D39-#REF!</f>
        <v>#REF!</v>
      </c>
      <c r="H39" s="56" t="e">
        <f>G39/11</f>
        <v>#REF!</v>
      </c>
      <c r="I39" s="57" t="e">
        <f>E39-#REF!</f>
        <v>#REF!</v>
      </c>
      <c r="J39" s="57" t="e">
        <f>I39/11</f>
        <v>#REF!</v>
      </c>
      <c r="K39" s="58" t="e">
        <f>#REF!/C39</f>
        <v>#REF!</v>
      </c>
      <c r="L39" s="59">
        <v>2.17</v>
      </c>
      <c r="M39" s="60"/>
      <c r="N39" s="60"/>
      <c r="O39" s="59"/>
      <c r="S39" s="86" t="s">
        <v>31</v>
      </c>
      <c r="T39" s="94">
        <v>24000</v>
      </c>
      <c r="U39" s="91">
        <v>26150.31</v>
      </c>
      <c r="V39" s="94">
        <v>36000</v>
      </c>
      <c r="W39" s="91">
        <v>37109.81</v>
      </c>
      <c r="X39" s="94">
        <v>31200</v>
      </c>
      <c r="Y39" s="96">
        <v>29222.06</v>
      </c>
      <c r="Z39" s="94">
        <v>28800</v>
      </c>
      <c r="AA39" s="87"/>
      <c r="AB39" s="94">
        <v>120000</v>
      </c>
    </row>
    <row r="40" spans="1:28" ht="22.8">
      <c r="B40" s="61"/>
      <c r="C40" s="62">
        <f>SUM(C30:C39)</f>
        <v>1285691</v>
      </c>
      <c r="D40" s="62">
        <f>SUM(D30:D39)</f>
        <v>1439973.9200000002</v>
      </c>
      <c r="E40" s="62">
        <f>SUM(E30:E39)</f>
        <v>1671398.3</v>
      </c>
      <c r="S40" s="86" t="s">
        <v>32</v>
      </c>
      <c r="T40" s="94">
        <v>28000</v>
      </c>
      <c r="U40" s="91">
        <v>35638.620000000003</v>
      </c>
      <c r="V40" s="94">
        <v>42000</v>
      </c>
      <c r="W40" s="91">
        <v>42049.49</v>
      </c>
      <c r="X40" s="94">
        <v>36400</v>
      </c>
      <c r="Y40" s="91">
        <v>61961.87</v>
      </c>
      <c r="Z40" s="94">
        <v>33600</v>
      </c>
      <c r="AA40" s="87"/>
      <c r="AB40" s="94">
        <v>140000</v>
      </c>
    </row>
    <row r="41" spans="1:28" ht="22.8">
      <c r="B41" s="61"/>
      <c r="C41" s="61"/>
      <c r="D41" s="61"/>
      <c r="E41" s="61"/>
      <c r="F41" s="63">
        <f>SUM(F30:F39)</f>
        <v>1504070.6300000004</v>
      </c>
      <c r="G41" s="55">
        <f>C40-F41</f>
        <v>-218379.63000000035</v>
      </c>
      <c r="H41" s="55">
        <f>G41/8</f>
        <v>-27297.453750000044</v>
      </c>
      <c r="I41" s="56">
        <f>D40-F41</f>
        <v>-64096.710000000196</v>
      </c>
      <c r="J41" s="56">
        <f>I41/8</f>
        <v>-8012.0887500000244</v>
      </c>
      <c r="K41" s="57">
        <f>E40-F41</f>
        <v>167327.66999999969</v>
      </c>
      <c r="L41" s="57">
        <f>K41/8</f>
        <v>20915.958749999962</v>
      </c>
      <c r="N41" s="61"/>
      <c r="O41" s="64"/>
      <c r="P41" s="64"/>
      <c r="Q41" s="64"/>
    </row>
    <row r="42" spans="1:28" ht="22.8">
      <c r="B42" s="65"/>
      <c r="C42" s="66">
        <f>C40*0.2%</f>
        <v>2571.3820000000001</v>
      </c>
      <c r="D42" s="61"/>
      <c r="E42" s="61"/>
      <c r="G42" s="61"/>
      <c r="H42" s="61"/>
      <c r="I42" s="61"/>
      <c r="J42" s="61"/>
      <c r="L42" s="58">
        <f>F41/C40</f>
        <v>1.1698538995761816</v>
      </c>
      <c r="M42" s="61"/>
      <c r="N42" s="61"/>
      <c r="O42" s="64"/>
      <c r="P42" s="64"/>
      <c r="Q42" s="64"/>
    </row>
    <row r="46" spans="1:28">
      <c r="B46" s="84"/>
      <c r="C46" s="84"/>
      <c r="D46" s="84"/>
      <c r="E46" s="84"/>
    </row>
    <row r="47" spans="1:28">
      <c r="B47" s="67"/>
      <c r="C47" s="67"/>
      <c r="D47" s="67"/>
      <c r="E47" s="67"/>
      <c r="F47" s="67"/>
    </row>
    <row r="48" spans="1:28">
      <c r="B48" s="67"/>
      <c r="C48" s="67"/>
      <c r="D48" s="67"/>
      <c r="E48" s="67"/>
      <c r="F48" s="67"/>
    </row>
    <row r="49" spans="2:6">
      <c r="B49" s="67"/>
      <c r="C49" s="67"/>
      <c r="D49" s="67"/>
      <c r="E49" s="67"/>
      <c r="F49" s="67"/>
    </row>
    <row r="50" spans="2:6">
      <c r="B50" s="67"/>
      <c r="C50" s="67"/>
      <c r="D50" s="67"/>
      <c r="E50" s="67"/>
      <c r="F50" s="67"/>
    </row>
    <row r="51" spans="2:6">
      <c r="B51" s="67"/>
      <c r="C51" s="67"/>
      <c r="D51" s="67"/>
      <c r="E51" s="67"/>
      <c r="F51" s="67"/>
    </row>
    <row r="52" spans="2:6">
      <c r="B52" s="67"/>
      <c r="C52" s="67"/>
      <c r="D52" s="67"/>
      <c r="E52" s="67"/>
      <c r="F52" s="67"/>
    </row>
    <row r="53" spans="2:6">
      <c r="B53" s="67"/>
      <c r="C53" s="67"/>
      <c r="D53" s="67"/>
      <c r="E53" s="67"/>
      <c r="F53" s="67"/>
    </row>
    <row r="54" spans="2:6">
      <c r="B54" s="67"/>
      <c r="C54" s="67"/>
      <c r="D54" s="67"/>
      <c r="E54" s="67"/>
      <c r="F54" s="67"/>
    </row>
    <row r="55" spans="2:6">
      <c r="B55" s="67"/>
      <c r="C55" s="67"/>
      <c r="D55" s="67"/>
      <c r="E55" s="67"/>
      <c r="F55" s="67"/>
    </row>
    <row r="56" spans="2:6">
      <c r="B56" s="67"/>
      <c r="C56" s="67"/>
      <c r="D56" s="67"/>
      <c r="E56" s="67"/>
      <c r="F56" s="67"/>
    </row>
  </sheetData>
  <autoFilter ref="A29:Q42" xr:uid="{D90D796F-C919-4136-A046-F3C7E29069F7}">
    <sortState xmlns:xlrd2="http://schemas.microsoft.com/office/spreadsheetml/2017/richdata2" ref="A30:Q42">
      <sortCondition descending="1" ref="M29:M42"/>
    </sortState>
  </autoFilter>
  <mergeCells count="8">
    <mergeCell ref="L18:N18"/>
    <mergeCell ref="S29:AB29"/>
    <mergeCell ref="B2:C2"/>
    <mergeCell ref="D2:I2"/>
    <mergeCell ref="L3:N3"/>
    <mergeCell ref="L8:N8"/>
    <mergeCell ref="L15:N15"/>
    <mergeCell ref="L17:N17"/>
  </mergeCells>
  <conditionalFormatting sqref="D4 D6:D13">
    <cfRule type="cellIs" dxfId="39" priority="3" operator="lessThan">
      <formula>$E4</formula>
    </cfRule>
    <cfRule type="cellIs" dxfId="38" priority="4" operator="greaterThan">
      <formula>$G4</formula>
    </cfRule>
    <cfRule type="cellIs" dxfId="37" priority="5" operator="greaterThan">
      <formula>$F4</formula>
    </cfRule>
    <cfRule type="cellIs" dxfId="36" priority="6" operator="greaterThan">
      <formula>$E4</formula>
    </cfRule>
  </conditionalFormatting>
  <conditionalFormatting sqref="H4 H6:H14">
    <cfRule type="cellIs" dxfId="35" priority="7" operator="greaterThan">
      <formula>0</formula>
    </cfRule>
    <cfRule type="cellIs" dxfId="34" priority="8" operator="lessThan">
      <formula>0</formula>
    </cfRule>
  </conditionalFormatting>
  <conditionalFormatting sqref="I4:I14">
    <cfRule type="cellIs" dxfId="33" priority="9" operator="lessThan">
      <formula>1</formula>
    </cfRule>
    <cfRule type="cellIs" dxfId="32" priority="10" operator="greaterThan">
      <formula>1</formula>
    </cfRule>
  </conditionalFormatting>
  <conditionalFormatting sqref="M30:M37 L42 K38:K39">
    <cfRule type="colorScale" priority="11">
      <colorScale>
        <cfvo type="min"/>
        <cfvo type="max"/>
        <color rgb="FFFFEF9C"/>
        <color rgb="FF63BE7B"/>
      </colorScale>
    </cfRule>
  </conditionalFormatting>
  <conditionalFormatting sqref="M30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00B050"/>
      </colorScale>
    </cfRule>
  </conditionalFormatting>
  <pageMargins left="0.511811024" right="0.511811024" top="0.78740157499999996" bottom="0.78740157499999996" header="0.31496062000000002" footer="0.31496062000000002"/>
  <pageSetup orientation="portrait" horizontalDpi="360" verticalDpi="36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3D1F-E729-4029-9959-BA328C8B09F9}">
  <dimension ref="A2:AB47"/>
  <sheetViews>
    <sheetView topLeftCell="A15" zoomScale="82" zoomScaleNormal="82" workbookViewId="0">
      <selection activeCell="F32" sqref="F32"/>
    </sheetView>
  </sheetViews>
  <sheetFormatPr defaultRowHeight="14.4"/>
  <cols>
    <col min="1" max="1" width="33" bestFit="1" customWidth="1"/>
    <col min="2" max="2" width="24.88671875" bestFit="1" customWidth="1"/>
    <col min="3" max="3" width="29" bestFit="1" customWidth="1"/>
    <col min="4" max="4" width="18.6640625" bestFit="1" customWidth="1"/>
    <col min="5" max="5" width="17.6640625" bestFit="1" customWidth="1"/>
    <col min="6" max="6" width="27.88671875" customWidth="1"/>
    <col min="7" max="7" width="18.6640625" customWidth="1"/>
    <col min="8" max="8" width="17.109375" customWidth="1"/>
    <col min="9" max="9" width="13.6640625" hidden="1" customWidth="1"/>
    <col min="10" max="10" width="17" customWidth="1"/>
    <col min="11" max="11" width="18" customWidth="1"/>
    <col min="12" max="12" width="44.44140625" bestFit="1" customWidth="1"/>
    <col min="13" max="14" width="18.109375" customWidth="1"/>
    <col min="15" max="15" width="13.6640625" bestFit="1" customWidth="1"/>
    <col min="16" max="16" width="15.33203125" customWidth="1"/>
    <col min="17" max="17" width="7.88671875" customWidth="1"/>
    <col min="18" max="18" width="9.109375" bestFit="1" customWidth="1"/>
    <col min="19" max="19" width="30.44140625" bestFit="1" customWidth="1"/>
    <col min="20" max="21" width="15.6640625" customWidth="1"/>
    <col min="22" max="23" width="17.33203125" customWidth="1"/>
    <col min="24" max="25" width="15.6640625" customWidth="1"/>
    <col min="26" max="27" width="13.33203125" customWidth="1"/>
    <col min="28" max="28" width="15.6640625" customWidth="1"/>
    <col min="29" max="29" width="16.44140625" customWidth="1"/>
    <col min="30" max="30" width="15.6640625" customWidth="1"/>
    <col min="31" max="31" width="13" customWidth="1"/>
    <col min="32" max="32" width="15.6640625" customWidth="1"/>
  </cols>
  <sheetData>
    <row r="2" spans="2:17" ht="17.399999999999999">
      <c r="B2" s="172" t="s">
        <v>91</v>
      </c>
      <c r="C2" s="181"/>
      <c r="D2" s="172" t="s">
        <v>1</v>
      </c>
      <c r="E2" s="182"/>
      <c r="F2" s="182"/>
      <c r="G2" s="182"/>
      <c r="H2" s="182"/>
      <c r="I2" s="181"/>
      <c r="J2" s="1"/>
    </row>
    <row r="3" spans="2:17" ht="15.6">
      <c r="B3" s="69" t="s">
        <v>2</v>
      </c>
      <c r="C3" s="70" t="s">
        <v>3</v>
      </c>
      <c r="D3" s="71" t="s">
        <v>4</v>
      </c>
      <c r="E3" s="72" t="s">
        <v>5</v>
      </c>
      <c r="F3" s="72" t="s">
        <v>6</v>
      </c>
      <c r="G3" s="72" t="s">
        <v>7</v>
      </c>
      <c r="H3" s="72" t="s">
        <v>8</v>
      </c>
      <c r="I3" s="2" t="s">
        <v>9</v>
      </c>
      <c r="J3" s="3" t="s">
        <v>10</v>
      </c>
      <c r="L3" s="175" t="s">
        <v>11</v>
      </c>
      <c r="M3" s="175"/>
      <c r="N3" s="175"/>
    </row>
    <row r="4" spans="2:17" ht="15.6">
      <c r="B4" s="78" t="s">
        <v>12</v>
      </c>
      <c r="C4" s="79"/>
      <c r="D4" s="80">
        <v>104672</v>
      </c>
      <c r="E4" s="80">
        <v>117232.64</v>
      </c>
      <c r="F4" s="80">
        <v>136073.60000000001</v>
      </c>
      <c r="G4" s="81">
        <f t="shared" ref="G4:G13" si="0">E4*1.3</f>
        <v>152402.432</v>
      </c>
      <c r="H4" s="82">
        <f t="shared" ref="H4:H14" si="1">C4-D4</f>
        <v>-104672</v>
      </c>
      <c r="I4" s="68">
        <f t="shared" ref="I4:I11" si="2">C4/D4</f>
        <v>0</v>
      </c>
      <c r="J4" s="6">
        <f t="shared" ref="J4:J11" si="3">C4-E4</f>
        <v>-117232.64</v>
      </c>
      <c r="L4" s="7" t="s">
        <v>5</v>
      </c>
      <c r="M4" s="8" t="s">
        <v>6</v>
      </c>
      <c r="N4" s="9" t="s">
        <v>13</v>
      </c>
      <c r="O4" s="10" t="s">
        <v>14</v>
      </c>
      <c r="P4" s="10" t="s">
        <v>15</v>
      </c>
      <c r="Q4" s="10" t="s">
        <v>16</v>
      </c>
    </row>
    <row r="5" spans="2:17" ht="15.6">
      <c r="B5" s="78" t="s">
        <v>17</v>
      </c>
      <c r="C5" s="79"/>
      <c r="D5" s="83">
        <v>0</v>
      </c>
      <c r="E5" s="83">
        <v>0</v>
      </c>
      <c r="F5" s="83">
        <f>E5*1.12</f>
        <v>0</v>
      </c>
      <c r="G5" s="83">
        <f t="shared" si="0"/>
        <v>0</v>
      </c>
      <c r="H5" s="83">
        <f t="shared" si="1"/>
        <v>0</v>
      </c>
      <c r="I5" s="68" t="e">
        <f t="shared" si="2"/>
        <v>#DIV/0!</v>
      </c>
      <c r="J5" s="6">
        <f t="shared" si="3"/>
        <v>0</v>
      </c>
      <c r="L5" s="4">
        <v>0</v>
      </c>
      <c r="M5" s="5">
        <f>L5*1.12</f>
        <v>0</v>
      </c>
      <c r="N5" s="11">
        <f>L5*1.3</f>
        <v>0</v>
      </c>
      <c r="O5" s="108">
        <v>0.4</v>
      </c>
      <c r="P5" s="109">
        <v>0.35</v>
      </c>
      <c r="Q5" s="110">
        <v>0.25</v>
      </c>
    </row>
    <row r="6" spans="2:17" ht="15.6">
      <c r="B6" s="78" t="s">
        <v>18</v>
      </c>
      <c r="C6" s="79"/>
      <c r="D6" s="80">
        <v>120000</v>
      </c>
      <c r="E6" s="80">
        <v>134400</v>
      </c>
      <c r="F6" s="80">
        <v>156000</v>
      </c>
      <c r="G6" s="81">
        <f t="shared" si="0"/>
        <v>174720</v>
      </c>
      <c r="H6" s="82">
        <f t="shared" si="1"/>
        <v>-120000</v>
      </c>
      <c r="I6" s="68">
        <f t="shared" si="2"/>
        <v>0</v>
      </c>
      <c r="J6" s="6">
        <f t="shared" si="3"/>
        <v>-134400</v>
      </c>
      <c r="L6" s="15"/>
      <c r="M6" s="15"/>
      <c r="N6" s="16"/>
      <c r="O6" s="111" t="s">
        <v>19</v>
      </c>
      <c r="P6" s="112" t="s">
        <v>20</v>
      </c>
      <c r="Q6" s="113" t="s">
        <v>21</v>
      </c>
    </row>
    <row r="7" spans="2:17" ht="15.6">
      <c r="B7" s="78" t="s">
        <v>22</v>
      </c>
      <c r="C7" s="79"/>
      <c r="D7" s="80">
        <v>101199</v>
      </c>
      <c r="E7" s="80">
        <v>113342.88</v>
      </c>
      <c r="F7" s="80">
        <v>131558.70000000001</v>
      </c>
      <c r="G7" s="81">
        <f t="shared" si="0"/>
        <v>147345.74400000001</v>
      </c>
      <c r="H7" s="82">
        <f t="shared" si="1"/>
        <v>-101199</v>
      </c>
      <c r="I7" s="68">
        <f t="shared" si="2"/>
        <v>0</v>
      </c>
      <c r="J7" s="6">
        <f t="shared" si="3"/>
        <v>-113342.88</v>
      </c>
      <c r="L7" s="20"/>
      <c r="M7" s="20"/>
      <c r="N7" s="21"/>
      <c r="O7" s="114">
        <v>0</v>
      </c>
      <c r="P7" s="114">
        <v>0</v>
      </c>
      <c r="Q7" s="114">
        <v>0</v>
      </c>
    </row>
    <row r="8" spans="2:17" ht="15.6">
      <c r="B8" s="78" t="s">
        <v>23</v>
      </c>
      <c r="C8" s="79"/>
      <c r="D8" s="80">
        <v>205272</v>
      </c>
      <c r="E8" s="80">
        <v>229904.64000000001</v>
      </c>
      <c r="F8" s="80">
        <v>266853.59999999998</v>
      </c>
      <c r="G8" s="81">
        <f t="shared" si="0"/>
        <v>298876.03200000001</v>
      </c>
      <c r="H8" s="82">
        <f t="shared" si="1"/>
        <v>-205272</v>
      </c>
      <c r="I8" s="68">
        <f t="shared" si="2"/>
        <v>0</v>
      </c>
      <c r="J8" s="6">
        <f t="shared" si="3"/>
        <v>-229904.64000000001</v>
      </c>
      <c r="L8" s="176" t="s">
        <v>24</v>
      </c>
      <c r="M8" s="176"/>
      <c r="N8" s="177"/>
    </row>
    <row r="9" spans="2:17" ht="15.6">
      <c r="B9" s="78" t="s">
        <v>25</v>
      </c>
      <c r="C9" s="79"/>
      <c r="D9" s="80">
        <v>110000</v>
      </c>
      <c r="E9" s="80">
        <v>123200</v>
      </c>
      <c r="F9" s="80">
        <v>143000</v>
      </c>
      <c r="G9" s="81">
        <f t="shared" si="0"/>
        <v>160160</v>
      </c>
      <c r="H9" s="82">
        <f t="shared" si="1"/>
        <v>-110000</v>
      </c>
      <c r="I9" s="68">
        <f t="shared" si="2"/>
        <v>0</v>
      </c>
      <c r="J9" s="6">
        <f t="shared" si="3"/>
        <v>-123200</v>
      </c>
      <c r="L9" s="20"/>
      <c r="M9" s="20"/>
      <c r="N9" s="21"/>
    </row>
    <row r="10" spans="2:17" ht="15.6">
      <c r="B10" s="78" t="s">
        <v>26</v>
      </c>
      <c r="C10" s="79"/>
      <c r="D10" s="80">
        <v>180000</v>
      </c>
      <c r="E10" s="80">
        <v>201600</v>
      </c>
      <c r="F10" s="80">
        <v>234000</v>
      </c>
      <c r="G10" s="81">
        <f t="shared" si="0"/>
        <v>262080</v>
      </c>
      <c r="H10" s="82">
        <f t="shared" si="1"/>
        <v>-180000</v>
      </c>
      <c r="I10" s="68">
        <f t="shared" si="2"/>
        <v>0</v>
      </c>
      <c r="J10" s="6">
        <f t="shared" si="3"/>
        <v>-201600</v>
      </c>
      <c r="L10" s="163" t="s">
        <v>27</v>
      </c>
      <c r="M10" s="163" t="s">
        <v>28</v>
      </c>
      <c r="N10" s="164" t="s">
        <v>29</v>
      </c>
    </row>
    <row r="11" spans="2:17" ht="15.6">
      <c r="B11" s="78" t="s">
        <v>30</v>
      </c>
      <c r="C11" s="79"/>
      <c r="D11" s="80">
        <v>141778</v>
      </c>
      <c r="E11" s="80">
        <v>158791.35999999999</v>
      </c>
      <c r="F11" s="80">
        <v>184311.4</v>
      </c>
      <c r="G11" s="81">
        <f t="shared" si="0"/>
        <v>206428.76799999998</v>
      </c>
      <c r="H11" s="82">
        <f t="shared" si="1"/>
        <v>-141778</v>
      </c>
      <c r="I11" s="68">
        <f t="shared" si="2"/>
        <v>0</v>
      </c>
      <c r="J11" s="6">
        <f t="shared" si="3"/>
        <v>-158791.35999999999</v>
      </c>
      <c r="L11" s="23">
        <v>8.0000000000000002E-3</v>
      </c>
      <c r="M11" s="24">
        <v>0.01</v>
      </c>
      <c r="N11" s="25">
        <v>1.2E-2</v>
      </c>
    </row>
    <row r="12" spans="2:17" ht="15.6">
      <c r="B12" s="83" t="s">
        <v>31</v>
      </c>
      <c r="C12" s="79"/>
      <c r="D12" s="80">
        <v>120000</v>
      </c>
      <c r="E12" s="80">
        <v>134400</v>
      </c>
      <c r="F12" s="80">
        <v>156000</v>
      </c>
      <c r="G12" s="81">
        <f t="shared" si="0"/>
        <v>174720</v>
      </c>
      <c r="H12" s="82">
        <f t="shared" si="1"/>
        <v>-120000</v>
      </c>
      <c r="I12" s="68"/>
      <c r="J12" s="6"/>
      <c r="L12" s="23"/>
      <c r="M12" s="24"/>
      <c r="N12" s="25"/>
    </row>
    <row r="13" spans="2:17" ht="15.6">
      <c r="B13" s="83" t="s">
        <v>32</v>
      </c>
      <c r="C13" s="79"/>
      <c r="D13" s="80">
        <v>140000</v>
      </c>
      <c r="E13" s="80">
        <v>156800</v>
      </c>
      <c r="F13" s="80">
        <v>182000</v>
      </c>
      <c r="G13" s="81">
        <f t="shared" si="0"/>
        <v>203840</v>
      </c>
      <c r="H13" s="82">
        <f t="shared" si="1"/>
        <v>-140000</v>
      </c>
      <c r="I13" s="68"/>
      <c r="J13" s="6"/>
      <c r="L13" s="23"/>
      <c r="M13" s="24"/>
      <c r="N13" s="25"/>
    </row>
    <row r="14" spans="2:17" ht="20.399999999999999">
      <c r="B14" s="73" t="s">
        <v>33</v>
      </c>
      <c r="C14" s="74">
        <f>SUM(C4:C11)</f>
        <v>0</v>
      </c>
      <c r="D14" s="74">
        <f>SUM(D4:D11)</f>
        <v>962921</v>
      </c>
      <c r="E14" s="75">
        <f>SUM(E4:E13)</f>
        <v>1369671.52</v>
      </c>
      <c r="F14" s="76">
        <f>SUM(F4:F13)</f>
        <v>1589797.2999999998</v>
      </c>
      <c r="G14" s="76">
        <f>SUM(G4:G13)</f>
        <v>1780572.976</v>
      </c>
      <c r="H14" s="77">
        <f t="shared" si="1"/>
        <v>-962921</v>
      </c>
      <c r="I14" s="26">
        <f>C14/D14</f>
        <v>0</v>
      </c>
      <c r="J14" s="27">
        <f>SUM(J4:J11)</f>
        <v>-1078471.52</v>
      </c>
      <c r="L14" s="20"/>
      <c r="M14" s="20"/>
      <c r="N14" s="21"/>
      <c r="O14" s="115"/>
      <c r="P14" s="116" t="s">
        <v>34</v>
      </c>
      <c r="Q14" s="117"/>
    </row>
    <row r="15" spans="2:17" ht="20.399999999999999">
      <c r="L15" s="176" t="s">
        <v>35</v>
      </c>
      <c r="M15" s="176"/>
      <c r="N15" s="177"/>
      <c r="O15" s="115"/>
      <c r="P15" s="116" t="s">
        <v>36</v>
      </c>
      <c r="Q15" s="117"/>
    </row>
    <row r="16" spans="2:17" ht="20.399999999999999">
      <c r="L16" s="20"/>
      <c r="M16" s="20"/>
      <c r="N16" s="21"/>
      <c r="O16" s="115"/>
      <c r="P16" s="116" t="s">
        <v>37</v>
      </c>
      <c r="Q16" s="117"/>
    </row>
    <row r="17" spans="1:28" ht="20.399999999999999">
      <c r="B17" s="31" t="s">
        <v>38</v>
      </c>
      <c r="C17" s="32">
        <v>2025</v>
      </c>
      <c r="D17" s="32">
        <v>2025</v>
      </c>
      <c r="E17" s="33">
        <f>E14*0.2%</f>
        <v>2739.3430400000002</v>
      </c>
      <c r="F17" s="33">
        <f>F14*0.2%</f>
        <v>3179.5945999999999</v>
      </c>
      <c r="G17" s="33">
        <f>G14*0.2%</f>
        <v>3561.1459520000003</v>
      </c>
      <c r="L17" s="170" t="s">
        <v>39</v>
      </c>
      <c r="M17" s="170"/>
      <c r="N17" s="171"/>
      <c r="O17" s="115"/>
      <c r="P17" s="116" t="s">
        <v>40</v>
      </c>
      <c r="Q17" s="117"/>
    </row>
    <row r="18" spans="1:28" ht="15.6">
      <c r="B18" s="34" t="s">
        <v>41</v>
      </c>
      <c r="C18" s="35">
        <v>26</v>
      </c>
      <c r="D18" s="35">
        <v>26</v>
      </c>
      <c r="F18" t="s">
        <v>42</v>
      </c>
      <c r="L18" s="170" t="s">
        <v>43</v>
      </c>
      <c r="M18" s="170"/>
      <c r="N18" s="171"/>
    </row>
    <row r="19" spans="1:28" ht="15.6">
      <c r="B19" s="34" t="s">
        <v>44</v>
      </c>
      <c r="C19" s="35">
        <v>25</v>
      </c>
      <c r="D19" s="35">
        <v>25</v>
      </c>
    </row>
    <row r="20" spans="1:28" ht="20.399999999999999">
      <c r="B20" s="34" t="s">
        <v>45</v>
      </c>
      <c r="C20" s="35">
        <v>26</v>
      </c>
      <c r="D20" s="35">
        <v>26</v>
      </c>
      <c r="L20" s="118" t="s">
        <v>46</v>
      </c>
      <c r="M20" s="37"/>
      <c r="N20" s="37"/>
    </row>
    <row r="21" spans="1:28" ht="15.6">
      <c r="B21" s="34" t="s">
        <v>47</v>
      </c>
      <c r="C21" s="35">
        <v>25</v>
      </c>
      <c r="D21" s="35">
        <v>25</v>
      </c>
    </row>
    <row r="22" spans="1:28" ht="15.6">
      <c r="B22" s="34" t="s">
        <v>48</v>
      </c>
      <c r="C22" s="35">
        <v>25</v>
      </c>
      <c r="D22" s="35">
        <v>25</v>
      </c>
      <c r="M22" s="49"/>
    </row>
    <row r="23" spans="1:28" ht="15.6">
      <c r="B23" s="34"/>
      <c r="C23" s="35"/>
      <c r="D23" s="35"/>
      <c r="F23" s="129" t="s">
        <v>49</v>
      </c>
      <c r="G23" s="130"/>
      <c r="H23" s="131" t="s">
        <v>50</v>
      </c>
    </row>
    <row r="24" spans="1:28" ht="15.6">
      <c r="B24" s="34"/>
      <c r="C24" s="35"/>
      <c r="D24" s="35"/>
      <c r="F24" s="132" t="s">
        <v>51</v>
      </c>
      <c r="G24" s="133"/>
      <c r="H24" s="134">
        <v>120</v>
      </c>
    </row>
    <row r="25" spans="1:28" ht="15.6">
      <c r="B25" s="44"/>
      <c r="C25" s="35"/>
      <c r="D25" s="35"/>
      <c r="F25" s="132" t="s">
        <v>52</v>
      </c>
      <c r="G25" s="133"/>
      <c r="H25" s="134">
        <v>3</v>
      </c>
      <c r="M25" s="45"/>
      <c r="N25" s="119" t="s">
        <v>53</v>
      </c>
    </row>
    <row r="26" spans="1:28">
      <c r="F26" s="132" t="s">
        <v>54</v>
      </c>
      <c r="G26" s="133"/>
      <c r="H26" s="134">
        <v>40</v>
      </c>
      <c r="M26" s="47"/>
      <c r="N26" s="119" t="s">
        <v>55</v>
      </c>
    </row>
    <row r="27" spans="1:28">
      <c r="F27" s="132" t="s">
        <v>56</v>
      </c>
      <c r="G27" s="133"/>
      <c r="H27" s="135">
        <v>0.41</v>
      </c>
      <c r="M27" s="49"/>
      <c r="N27" s="119" t="s">
        <v>57</v>
      </c>
    </row>
    <row r="29" spans="1:28" ht="15.6">
      <c r="A29" s="121" t="s">
        <v>58</v>
      </c>
      <c r="B29" s="121" t="s">
        <v>59</v>
      </c>
      <c r="C29" s="121" t="s">
        <v>60</v>
      </c>
      <c r="D29" s="121" t="s">
        <v>61</v>
      </c>
      <c r="E29" s="121" t="s">
        <v>62</v>
      </c>
      <c r="F29" s="121" t="s">
        <v>63</v>
      </c>
      <c r="G29" s="121" t="s">
        <v>60</v>
      </c>
      <c r="H29" s="120" t="s">
        <v>64</v>
      </c>
      <c r="I29" s="121" t="s">
        <v>61</v>
      </c>
      <c r="J29" s="120" t="s">
        <v>65</v>
      </c>
      <c r="K29" s="121" t="s">
        <v>62</v>
      </c>
      <c r="L29" s="120" t="s">
        <v>66</v>
      </c>
      <c r="M29" s="121" t="s">
        <v>67</v>
      </c>
      <c r="N29" s="122" t="s">
        <v>68</v>
      </c>
      <c r="O29" s="122" t="s">
        <v>51</v>
      </c>
      <c r="P29" s="122" t="s">
        <v>54</v>
      </c>
      <c r="Q29" s="122" t="s">
        <v>69</v>
      </c>
      <c r="S29" s="150" t="s">
        <v>92</v>
      </c>
      <c r="T29" s="151">
        <v>0.23</v>
      </c>
      <c r="U29" s="151" t="s">
        <v>93</v>
      </c>
      <c r="V29" s="151">
        <v>0.28999999999999998</v>
      </c>
      <c r="W29" s="151" t="s">
        <v>93</v>
      </c>
      <c r="X29" s="151">
        <v>0.2</v>
      </c>
      <c r="Y29" s="151" t="s">
        <v>93</v>
      </c>
      <c r="Z29" s="151">
        <v>0.28000000000000003</v>
      </c>
      <c r="AA29" s="151" t="s">
        <v>93</v>
      </c>
      <c r="AB29" s="152" t="s">
        <v>73</v>
      </c>
    </row>
    <row r="30" spans="1:28" ht="15.6">
      <c r="A30" s="136">
        <v>236</v>
      </c>
      <c r="B30" s="137" t="s">
        <v>85</v>
      </c>
      <c r="C30" s="107">
        <v>115000</v>
      </c>
      <c r="D30" s="139">
        <f>C30*1.12</f>
        <v>128800.00000000001</v>
      </c>
      <c r="E30" s="123">
        <f t="shared" ref="E30:E38" si="4">C30*1.3</f>
        <v>149500</v>
      </c>
      <c r="F30" s="165">
        <v>92795.8</v>
      </c>
      <c r="G30" s="138">
        <f t="shared" ref="G30:G38" si="5">C30-F30</f>
        <v>22204.199999999997</v>
      </c>
      <c r="H30" s="138">
        <f>G30/9</f>
        <v>2467.1333333333332</v>
      </c>
      <c r="I30" s="139">
        <f t="shared" ref="I30:I37" si="6">D30-F30</f>
        <v>36004.200000000012</v>
      </c>
      <c r="J30" s="139">
        <f>I30/9</f>
        <v>4000.4666666666681</v>
      </c>
      <c r="K30" s="123">
        <f t="shared" ref="K30:K37" si="7">E30-F30</f>
        <v>56704.2</v>
      </c>
      <c r="L30" s="123">
        <f>K30/9</f>
        <v>6300.4666666666662</v>
      </c>
      <c r="M30" s="124">
        <f t="shared" ref="M30:M38" si="8">F30/C30</f>
        <v>0.80691999999999997</v>
      </c>
      <c r="N30" s="125"/>
      <c r="O30" s="125"/>
      <c r="P30" s="126"/>
      <c r="Q30" s="125"/>
      <c r="S30" s="144" t="s">
        <v>75</v>
      </c>
      <c r="T30" s="156">
        <v>28522.76</v>
      </c>
      <c r="U30" s="161">
        <v>23699.18</v>
      </c>
      <c r="V30" s="156">
        <v>35963.480000000003</v>
      </c>
      <c r="W30" s="161">
        <v>30475.69</v>
      </c>
      <c r="X30" s="145">
        <v>24802.400000000001</v>
      </c>
      <c r="Y30" s="145"/>
      <c r="Z30" s="145">
        <v>34723.360000000001</v>
      </c>
      <c r="AA30" s="145"/>
      <c r="AB30" s="146">
        <v>124012</v>
      </c>
    </row>
    <row r="31" spans="1:28" ht="15.6">
      <c r="A31" s="136">
        <v>109</v>
      </c>
      <c r="B31" s="137" t="s">
        <v>78</v>
      </c>
      <c r="C31" s="107">
        <v>120000</v>
      </c>
      <c r="D31" s="139">
        <f>C31*1.12</f>
        <v>134400</v>
      </c>
      <c r="E31" s="123">
        <f t="shared" si="4"/>
        <v>156000</v>
      </c>
      <c r="F31" s="165">
        <v>104741.32</v>
      </c>
      <c r="G31" s="138">
        <f t="shared" si="5"/>
        <v>15258.679999999993</v>
      </c>
      <c r="H31" s="138">
        <f>G31/11</f>
        <v>1387.1527272727267</v>
      </c>
      <c r="I31" s="139">
        <f t="shared" si="6"/>
        <v>29658.679999999993</v>
      </c>
      <c r="J31" s="139">
        <f>I31/11</f>
        <v>2696.2436363636357</v>
      </c>
      <c r="K31" s="123">
        <f t="shared" si="7"/>
        <v>51258.679999999993</v>
      </c>
      <c r="L31" s="123">
        <f>K31/11</f>
        <v>4659.8799999999992</v>
      </c>
      <c r="M31" s="124">
        <f t="shared" si="8"/>
        <v>0.87284433333333344</v>
      </c>
      <c r="N31" s="125"/>
      <c r="O31" s="125"/>
      <c r="P31" s="126"/>
      <c r="Q31" s="125"/>
      <c r="S31" s="147" t="s">
        <v>77</v>
      </c>
      <c r="T31" s="157">
        <v>40135.230000000003</v>
      </c>
      <c r="U31" s="161">
        <v>32286.45</v>
      </c>
      <c r="V31" s="157">
        <v>50605.29</v>
      </c>
      <c r="W31" s="161">
        <v>40490.080000000002</v>
      </c>
      <c r="X31" s="148">
        <v>34900.199999999997</v>
      </c>
      <c r="Y31" s="148"/>
      <c r="Z31" s="148">
        <v>48860.28</v>
      </c>
      <c r="AA31" s="148"/>
      <c r="AB31" s="149">
        <v>174501</v>
      </c>
    </row>
    <row r="32" spans="1:28" ht="15.6">
      <c r="A32" s="136">
        <v>117</v>
      </c>
      <c r="B32" s="137" t="s">
        <v>80</v>
      </c>
      <c r="C32" s="107">
        <v>124012</v>
      </c>
      <c r="D32" s="139">
        <v>145600</v>
      </c>
      <c r="E32" s="123">
        <f t="shared" si="4"/>
        <v>161215.6</v>
      </c>
      <c r="F32" s="165">
        <v>127244.65</v>
      </c>
      <c r="G32" s="138">
        <f t="shared" si="5"/>
        <v>-3232.6499999999942</v>
      </c>
      <c r="H32" s="138">
        <f>G32/11</f>
        <v>-293.87727272727221</v>
      </c>
      <c r="I32" s="139">
        <f t="shared" si="6"/>
        <v>18355.350000000006</v>
      </c>
      <c r="J32" s="139">
        <f>I32/11</f>
        <v>1668.6681818181823</v>
      </c>
      <c r="K32" s="123">
        <f t="shared" si="7"/>
        <v>33970.950000000012</v>
      </c>
      <c r="L32" s="123">
        <f>K32/11</f>
        <v>3088.2681818181827</v>
      </c>
      <c r="M32" s="124">
        <f t="shared" si="8"/>
        <v>1.0260672354288294</v>
      </c>
      <c r="N32" s="125"/>
      <c r="O32" s="125"/>
      <c r="P32" s="126"/>
      <c r="Q32" s="125"/>
      <c r="S32" s="147" t="s">
        <v>79</v>
      </c>
      <c r="T32" s="157">
        <v>34500</v>
      </c>
      <c r="U32" s="161">
        <v>21765.9</v>
      </c>
      <c r="V32" s="157">
        <v>43500</v>
      </c>
      <c r="W32" s="161">
        <v>28963.5</v>
      </c>
      <c r="X32" s="148">
        <v>30000</v>
      </c>
      <c r="Y32" s="148"/>
      <c r="Z32" s="148">
        <v>42000</v>
      </c>
      <c r="AA32" s="148"/>
      <c r="AB32" s="149">
        <v>150000</v>
      </c>
    </row>
    <row r="33" spans="1:28" ht="15.6">
      <c r="A33" s="136">
        <v>257</v>
      </c>
      <c r="B33" s="137" t="s">
        <v>71</v>
      </c>
      <c r="C33" s="107">
        <v>150000</v>
      </c>
      <c r="D33" s="139">
        <f t="shared" ref="D33:D38" si="9">C33*1.12</f>
        <v>168000.00000000003</v>
      </c>
      <c r="E33" s="123">
        <f t="shared" si="4"/>
        <v>195000</v>
      </c>
      <c r="F33" s="165">
        <v>132007.35</v>
      </c>
      <c r="G33" s="138">
        <f t="shared" si="5"/>
        <v>17992.649999999994</v>
      </c>
      <c r="H33" s="138">
        <f>G33/10</f>
        <v>1799.2649999999994</v>
      </c>
      <c r="I33" s="139">
        <f t="shared" si="6"/>
        <v>35992.650000000023</v>
      </c>
      <c r="J33" s="139">
        <f>I33/11</f>
        <v>3272.0590909090929</v>
      </c>
      <c r="K33" s="123">
        <f t="shared" si="7"/>
        <v>62992.649999999994</v>
      </c>
      <c r="L33" s="123">
        <f>K33/11</f>
        <v>5726.6045454545447</v>
      </c>
      <c r="M33" s="124">
        <f t="shared" si="8"/>
        <v>0.88004900000000008</v>
      </c>
      <c r="N33" s="125"/>
      <c r="O33" s="125"/>
      <c r="P33" s="126"/>
      <c r="Q33" s="125"/>
      <c r="S33" s="147" t="s">
        <v>81</v>
      </c>
      <c r="T33" s="157">
        <v>41400</v>
      </c>
      <c r="U33" s="161">
        <v>28619.5</v>
      </c>
      <c r="V33" s="157">
        <v>52200</v>
      </c>
      <c r="W33" s="161">
        <v>33746.550000000003</v>
      </c>
      <c r="X33" s="148">
        <v>36000</v>
      </c>
      <c r="Y33" s="148"/>
      <c r="Z33" s="148">
        <v>50400</v>
      </c>
      <c r="AA33" s="148"/>
      <c r="AB33" s="149">
        <v>180000</v>
      </c>
    </row>
    <row r="34" spans="1:28" ht="15.6">
      <c r="A34" s="136">
        <v>363</v>
      </c>
      <c r="B34" s="137" t="s">
        <v>87</v>
      </c>
      <c r="C34" s="107">
        <v>180000</v>
      </c>
      <c r="D34" s="139">
        <f t="shared" si="9"/>
        <v>201600.00000000003</v>
      </c>
      <c r="E34" s="123">
        <f t="shared" si="4"/>
        <v>234000</v>
      </c>
      <c r="F34" s="165">
        <v>141908.95000000001</v>
      </c>
      <c r="G34" s="138">
        <f t="shared" si="5"/>
        <v>38091.049999999988</v>
      </c>
      <c r="H34" s="138">
        <f>G34/9</f>
        <v>4232.3388888888876</v>
      </c>
      <c r="I34" s="139">
        <f t="shared" si="6"/>
        <v>59691.050000000017</v>
      </c>
      <c r="J34" s="139">
        <f>I34/9</f>
        <v>6632.3388888888912</v>
      </c>
      <c r="K34" s="123">
        <f t="shared" si="7"/>
        <v>92091.049999999988</v>
      </c>
      <c r="L34" s="123">
        <f>K34/9</f>
        <v>10232.338888888888</v>
      </c>
      <c r="M34" s="124">
        <f t="shared" si="8"/>
        <v>0.78838305555555566</v>
      </c>
      <c r="N34" s="125"/>
      <c r="O34" s="125"/>
      <c r="P34" s="126"/>
      <c r="Q34" s="125"/>
      <c r="S34" s="147" t="s">
        <v>94</v>
      </c>
      <c r="T34" s="157">
        <v>27600</v>
      </c>
      <c r="U34" s="161">
        <v>18228.96</v>
      </c>
      <c r="V34" s="157">
        <v>34800</v>
      </c>
      <c r="W34" s="161">
        <v>26925.89</v>
      </c>
      <c r="X34" s="148">
        <v>24000</v>
      </c>
      <c r="Y34" s="148"/>
      <c r="Z34" s="148">
        <v>33600</v>
      </c>
      <c r="AA34" s="148"/>
      <c r="AB34" s="149">
        <v>120000</v>
      </c>
    </row>
    <row r="35" spans="1:28" ht="15.6">
      <c r="A35" s="136">
        <v>997</v>
      </c>
      <c r="B35" s="137" t="s">
        <v>82</v>
      </c>
      <c r="C35" s="107">
        <v>150000</v>
      </c>
      <c r="D35" s="139">
        <f t="shared" si="9"/>
        <v>168000.00000000003</v>
      </c>
      <c r="E35" s="123">
        <f t="shared" si="4"/>
        <v>195000</v>
      </c>
      <c r="F35" s="165">
        <v>144467.88</v>
      </c>
      <c r="G35" s="138">
        <f t="shared" si="5"/>
        <v>5532.1199999999953</v>
      </c>
      <c r="H35" s="138">
        <f>G35/10</f>
        <v>553.21199999999953</v>
      </c>
      <c r="I35" s="139">
        <f t="shared" si="6"/>
        <v>23532.120000000024</v>
      </c>
      <c r="J35" s="139"/>
      <c r="K35" s="123">
        <f t="shared" si="7"/>
        <v>50532.119999999995</v>
      </c>
      <c r="L35" s="123"/>
      <c r="M35" s="124">
        <f t="shared" si="8"/>
        <v>0.96311920000000006</v>
      </c>
      <c r="N35" s="125"/>
      <c r="O35" s="125"/>
      <c r="P35" s="126"/>
      <c r="Q35" s="125"/>
      <c r="S35" s="147" t="s">
        <v>86</v>
      </c>
      <c r="T35" s="157">
        <v>26450</v>
      </c>
      <c r="U35" s="161">
        <v>14938.38</v>
      </c>
      <c r="V35" s="157">
        <v>33350</v>
      </c>
      <c r="W35" s="161">
        <v>20743.73</v>
      </c>
      <c r="X35" s="148">
        <v>23000</v>
      </c>
      <c r="Y35" s="148"/>
      <c r="Z35" s="148">
        <v>32200</v>
      </c>
      <c r="AA35" s="148"/>
      <c r="AB35" s="149">
        <v>115000</v>
      </c>
    </row>
    <row r="36" spans="1:28" ht="15.6">
      <c r="A36" s="136">
        <v>165</v>
      </c>
      <c r="B36" s="137" t="s">
        <v>84</v>
      </c>
      <c r="C36" s="107">
        <v>174501</v>
      </c>
      <c r="D36" s="139">
        <f t="shared" si="9"/>
        <v>195441.12000000002</v>
      </c>
      <c r="E36" s="123">
        <f t="shared" si="4"/>
        <v>226851.30000000002</v>
      </c>
      <c r="F36" s="165">
        <v>163215.60999999999</v>
      </c>
      <c r="G36" s="138">
        <f t="shared" si="5"/>
        <v>11285.390000000014</v>
      </c>
      <c r="H36" s="138">
        <f>G36/10</f>
        <v>1128.5390000000014</v>
      </c>
      <c r="I36" s="139">
        <f t="shared" si="6"/>
        <v>32225.510000000038</v>
      </c>
      <c r="J36" s="139">
        <f>I36/10</f>
        <v>3222.551000000004</v>
      </c>
      <c r="K36" s="123">
        <f t="shared" si="7"/>
        <v>63635.690000000031</v>
      </c>
      <c r="L36" s="123">
        <f>K36/10</f>
        <v>6363.5690000000031</v>
      </c>
      <c r="M36" s="124">
        <f t="shared" si="8"/>
        <v>0.93532764855215722</v>
      </c>
      <c r="N36" s="125"/>
      <c r="O36" s="126"/>
      <c r="P36" s="126"/>
      <c r="Q36" s="125"/>
      <c r="S36" s="147" t="s">
        <v>88</v>
      </c>
      <c r="T36" s="157">
        <v>39336.67</v>
      </c>
      <c r="U36" s="161">
        <v>29803.41</v>
      </c>
      <c r="V36" s="157">
        <v>49598.41</v>
      </c>
      <c r="W36" s="161">
        <v>40205.94</v>
      </c>
      <c r="X36" s="148">
        <v>34205.800000000003</v>
      </c>
      <c r="Y36" s="148"/>
      <c r="Z36" s="148">
        <v>47888.12</v>
      </c>
      <c r="AA36" s="148"/>
      <c r="AB36" s="149">
        <v>171029</v>
      </c>
    </row>
    <row r="37" spans="1:28" ht="15.6">
      <c r="A37" s="136">
        <v>157</v>
      </c>
      <c r="B37" s="137" t="s">
        <v>76</v>
      </c>
      <c r="C37" s="107">
        <v>171029</v>
      </c>
      <c r="D37" s="139">
        <f t="shared" si="9"/>
        <v>191552.48</v>
      </c>
      <c r="E37" s="123">
        <f t="shared" si="4"/>
        <v>222337.7</v>
      </c>
      <c r="F37" s="166">
        <v>176400.42</v>
      </c>
      <c r="G37" s="138">
        <f t="shared" si="5"/>
        <v>-5371.4200000000128</v>
      </c>
      <c r="H37" s="138">
        <f>G37/10</f>
        <v>-537.1420000000013</v>
      </c>
      <c r="I37" s="139">
        <f t="shared" si="6"/>
        <v>15152.059999999998</v>
      </c>
      <c r="J37" s="139">
        <f>I37/10</f>
        <v>1515.2059999999997</v>
      </c>
      <c r="K37" s="123">
        <f t="shared" si="7"/>
        <v>45937.279999999999</v>
      </c>
      <c r="L37" s="123">
        <f>K37/10</f>
        <v>4593.7280000000001</v>
      </c>
      <c r="M37" s="124">
        <f t="shared" si="8"/>
        <v>1.0314064866192283</v>
      </c>
      <c r="N37" s="125"/>
      <c r="O37" s="125"/>
      <c r="P37" s="126"/>
      <c r="Q37" s="125"/>
      <c r="S37" s="147" t="s">
        <v>31</v>
      </c>
      <c r="T37" s="157">
        <v>34500</v>
      </c>
      <c r="U37" s="161">
        <v>21901.4</v>
      </c>
      <c r="V37" s="157">
        <v>43500</v>
      </c>
      <c r="W37" s="161">
        <v>37642.78</v>
      </c>
      <c r="X37" s="148">
        <v>30000</v>
      </c>
      <c r="Y37" s="148"/>
      <c r="Z37" s="148">
        <v>42000</v>
      </c>
      <c r="AA37" s="148"/>
      <c r="AB37" s="149">
        <v>150000</v>
      </c>
    </row>
    <row r="38" spans="1:28" ht="15.6">
      <c r="A38" s="136">
        <v>1017</v>
      </c>
      <c r="B38" s="137" t="s">
        <v>74</v>
      </c>
      <c r="C38" s="107">
        <v>178902</v>
      </c>
      <c r="D38" s="139">
        <f t="shared" si="9"/>
        <v>200370.24000000002</v>
      </c>
      <c r="E38" s="123">
        <f t="shared" si="4"/>
        <v>232572.6</v>
      </c>
      <c r="F38" s="165">
        <v>185511.58</v>
      </c>
      <c r="G38" s="138">
        <f t="shared" si="5"/>
        <v>-6609.5799999999872</v>
      </c>
      <c r="H38" s="138">
        <f>G38/9</f>
        <v>-734.39777777777635</v>
      </c>
      <c r="I38" s="139"/>
      <c r="J38" s="139"/>
      <c r="K38" s="123"/>
      <c r="L38" s="123"/>
      <c r="M38" s="124">
        <f t="shared" si="8"/>
        <v>1.0369452549440474</v>
      </c>
      <c r="N38" s="125"/>
      <c r="O38" s="125"/>
      <c r="P38" s="126"/>
      <c r="Q38" s="125"/>
      <c r="S38" s="144" t="s">
        <v>32</v>
      </c>
      <c r="T38" s="158">
        <v>41147.46</v>
      </c>
      <c r="U38" s="161">
        <v>36302.589999999997</v>
      </c>
      <c r="V38" s="162">
        <v>51881.58</v>
      </c>
      <c r="W38" s="161">
        <v>41602.44</v>
      </c>
      <c r="X38" s="159">
        <v>35780.400000000001</v>
      </c>
      <c r="Y38" s="153"/>
      <c r="Z38" s="153">
        <v>50092.56</v>
      </c>
      <c r="AA38" s="153"/>
      <c r="AB38" s="154">
        <v>178902</v>
      </c>
    </row>
    <row r="39" spans="1:28" ht="22.8">
      <c r="B39" s="127"/>
      <c r="C39" s="127"/>
      <c r="D39" s="127"/>
      <c r="E39" s="127"/>
      <c r="F39" s="63">
        <f>SUM(F28:F37)</f>
        <v>1082781.98</v>
      </c>
      <c r="G39" s="138">
        <f>C38-F39</f>
        <v>-903879.98</v>
      </c>
      <c r="H39" s="138">
        <f>G39/8</f>
        <v>-112984.9975</v>
      </c>
      <c r="I39" s="139">
        <f>D38-F39</f>
        <v>-882411.74</v>
      </c>
      <c r="J39" s="139">
        <f>I39/8</f>
        <v>-110301.4675</v>
      </c>
      <c r="K39" s="123">
        <f>E38-F39</f>
        <v>-850209.38</v>
      </c>
      <c r="L39" s="123">
        <f>K39/8</f>
        <v>-106276.1725</v>
      </c>
      <c r="N39" s="127"/>
      <c r="O39" s="128"/>
      <c r="P39" s="128"/>
      <c r="Q39" s="128"/>
      <c r="S39" s="155" t="s">
        <v>95</v>
      </c>
      <c r="T39" s="155" t="s">
        <v>96</v>
      </c>
      <c r="U39" s="160"/>
      <c r="V39" s="155" t="s">
        <v>97</v>
      </c>
      <c r="W39" s="160"/>
      <c r="X39" s="155" t="s">
        <v>98</v>
      </c>
      <c r="Y39" s="155"/>
      <c r="Z39" s="155" t="s">
        <v>99</v>
      </c>
      <c r="AA39" s="155"/>
      <c r="AB39" s="155" t="s">
        <v>95</v>
      </c>
    </row>
    <row r="40" spans="1:28">
      <c r="A40" s="136"/>
      <c r="B40" s="137" t="s">
        <v>89</v>
      </c>
      <c r="C40" s="138"/>
      <c r="D40" s="139">
        <f>C40*1.12</f>
        <v>0</v>
      </c>
      <c r="E40" s="123">
        <f>C40*1.3</f>
        <v>0</v>
      </c>
      <c r="F40" s="138"/>
      <c r="G40" s="139" t="e">
        <f>D40-#REF!</f>
        <v>#REF!</v>
      </c>
      <c r="H40" s="139" t="e">
        <f>G40/11</f>
        <v>#REF!</v>
      </c>
      <c r="I40" s="123" t="e">
        <f>E40-#REF!</f>
        <v>#REF!</v>
      </c>
      <c r="J40" s="123" t="e">
        <f>I40/11</f>
        <v>#REF!</v>
      </c>
      <c r="K40" s="124" t="e">
        <f>#REF!/C40</f>
        <v>#REF!</v>
      </c>
      <c r="L40" s="125">
        <v>2.17</v>
      </c>
      <c r="M40" s="126"/>
      <c r="N40" s="126"/>
      <c r="O40" s="125"/>
    </row>
    <row r="41" spans="1:28" ht="22.8">
      <c r="B41" s="127"/>
      <c r="C41" s="141">
        <f>SUM(C31:C40)</f>
        <v>1248444</v>
      </c>
      <c r="D41" s="141">
        <f>SUM(D31:D40)</f>
        <v>1404963.8400000001</v>
      </c>
      <c r="E41" s="141">
        <f>SUM(E31:E40)</f>
        <v>1622977.2</v>
      </c>
    </row>
    <row r="42" spans="1:28" ht="22.8">
      <c r="B42" s="142"/>
      <c r="C42" s="143">
        <f>C40*0.2%</f>
        <v>0</v>
      </c>
      <c r="D42" s="127"/>
      <c r="E42" s="127"/>
      <c r="G42" s="127"/>
      <c r="H42" s="127"/>
      <c r="I42" s="127"/>
      <c r="J42" s="127"/>
      <c r="L42" s="124" t="e">
        <f>F41/C40</f>
        <v>#DIV/0!</v>
      </c>
      <c r="M42" s="127"/>
      <c r="N42" s="127"/>
      <c r="O42" s="128"/>
      <c r="P42" s="128"/>
      <c r="Q42" s="128"/>
    </row>
    <row r="46" spans="1:28">
      <c r="B46" s="84"/>
      <c r="C46" s="84"/>
      <c r="D46" s="84"/>
      <c r="E46" s="84"/>
    </row>
    <row r="47" spans="1:28">
      <c r="B47" s="67"/>
      <c r="C47" s="67"/>
      <c r="D47" s="67"/>
      <c r="E47" s="67"/>
      <c r="F47" s="67"/>
    </row>
  </sheetData>
  <autoFilter ref="A29:Q42" xr:uid="{D90D796F-C919-4136-A046-F3C7E29069F7}">
    <sortState xmlns:xlrd2="http://schemas.microsoft.com/office/spreadsheetml/2017/richdata2" ref="A30:Q42">
      <sortCondition ref="F29:F42"/>
    </sortState>
  </autoFilter>
  <mergeCells count="7">
    <mergeCell ref="L18:N18"/>
    <mergeCell ref="B2:C2"/>
    <mergeCell ref="D2:I2"/>
    <mergeCell ref="L3:N3"/>
    <mergeCell ref="L8:N8"/>
    <mergeCell ref="L15:N15"/>
    <mergeCell ref="L17:N17"/>
  </mergeCells>
  <conditionalFormatting sqref="D4 D6:D13">
    <cfRule type="cellIs" dxfId="31" priority="3" operator="lessThan">
      <formula>$E4</formula>
    </cfRule>
    <cfRule type="cellIs" dxfId="30" priority="4" operator="greaterThan">
      <formula>$G4</formula>
    </cfRule>
    <cfRule type="cellIs" dxfId="29" priority="5" operator="greaterThan">
      <formula>$F4</formula>
    </cfRule>
    <cfRule type="cellIs" dxfId="28" priority="6" operator="greaterThan">
      <formula>$E4</formula>
    </cfRule>
  </conditionalFormatting>
  <conditionalFormatting sqref="H4 H6:H14">
    <cfRule type="cellIs" dxfId="27" priority="7" operator="greaterThan">
      <formula>0</formula>
    </cfRule>
    <cfRule type="cellIs" dxfId="26" priority="8" operator="lessThan">
      <formula>0</formula>
    </cfRule>
  </conditionalFormatting>
  <conditionalFormatting sqref="I4:I14">
    <cfRule type="cellIs" dxfId="25" priority="9" operator="lessThan">
      <formula>1</formula>
    </cfRule>
    <cfRule type="cellIs" dxfId="24" priority="10" operator="greaterThan">
      <formula>1</formula>
    </cfRule>
  </conditionalFormatting>
  <conditionalFormatting sqref="M30:M37 L42 K38:K39">
    <cfRule type="colorScale" priority="11">
      <colorScale>
        <cfvo type="min"/>
        <cfvo type="max"/>
        <color rgb="FFFFEF9C"/>
        <color rgb="FF63BE7B"/>
      </colorScale>
    </cfRule>
  </conditionalFormatting>
  <conditionalFormatting sqref="M30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00B050"/>
      </colorScale>
    </cfRule>
  </conditionalFormatting>
  <pageMargins left="0.511811024" right="0.511811024" top="0.78740157499999996" bottom="0.78740157499999996" header="0.31496062000000002" footer="0.31496062000000002"/>
  <pageSetup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6A01-9EDE-4CD6-8576-1DD06CE9FA16}">
  <dimension ref="A2:AB47"/>
  <sheetViews>
    <sheetView zoomScale="82" zoomScaleNormal="82" workbookViewId="0">
      <selection activeCell="M34" sqref="M34"/>
    </sheetView>
  </sheetViews>
  <sheetFormatPr defaultRowHeight="14.4"/>
  <cols>
    <col min="1" max="1" width="33" bestFit="1" customWidth="1"/>
    <col min="2" max="2" width="24.88671875" bestFit="1" customWidth="1"/>
    <col min="3" max="3" width="29" bestFit="1" customWidth="1"/>
    <col min="4" max="4" width="18.6640625" bestFit="1" customWidth="1"/>
    <col min="5" max="5" width="17.6640625" bestFit="1" customWidth="1"/>
    <col min="6" max="6" width="27.88671875" customWidth="1"/>
    <col min="7" max="7" width="18.6640625" hidden="1" customWidth="1"/>
    <col min="8" max="8" width="17.109375" hidden="1" customWidth="1"/>
    <col min="9" max="9" width="13.6640625" hidden="1" customWidth="1"/>
    <col min="10" max="10" width="17" hidden="1" customWidth="1"/>
    <col min="11" max="11" width="18" hidden="1" customWidth="1"/>
    <col min="12" max="12" width="44.44140625" hidden="1" customWidth="1"/>
    <col min="13" max="14" width="18.109375" customWidth="1"/>
    <col min="15" max="15" width="13.6640625" bestFit="1" customWidth="1"/>
    <col min="16" max="16" width="15.33203125" customWidth="1"/>
    <col min="17" max="17" width="7.88671875" customWidth="1"/>
    <col min="18" max="18" width="9.109375" bestFit="1" customWidth="1"/>
    <col min="19" max="19" width="30.44140625" bestFit="1" customWidth="1"/>
    <col min="20" max="21" width="15.6640625" customWidth="1"/>
    <col min="22" max="23" width="17.33203125" customWidth="1"/>
    <col min="24" max="25" width="15.6640625" customWidth="1"/>
    <col min="26" max="27" width="13.33203125" customWidth="1"/>
    <col min="28" max="28" width="15.6640625" customWidth="1"/>
    <col min="29" max="29" width="16.44140625" customWidth="1"/>
    <col min="30" max="30" width="15.6640625" customWidth="1"/>
    <col min="31" max="31" width="13" customWidth="1"/>
    <col min="32" max="32" width="15.6640625" customWidth="1"/>
  </cols>
  <sheetData>
    <row r="2" spans="2:17" ht="17.399999999999999">
      <c r="B2" s="172" t="s">
        <v>91</v>
      </c>
      <c r="C2" s="181"/>
      <c r="D2" s="172" t="s">
        <v>1</v>
      </c>
      <c r="E2" s="182"/>
      <c r="F2" s="182"/>
      <c r="G2" s="182"/>
      <c r="H2" s="182"/>
      <c r="I2" s="181"/>
      <c r="J2" s="1"/>
    </row>
    <row r="3" spans="2:17" ht="15.6">
      <c r="B3" s="69" t="s">
        <v>2</v>
      </c>
      <c r="C3" s="70" t="s">
        <v>3</v>
      </c>
      <c r="D3" s="71" t="s">
        <v>100</v>
      </c>
      <c r="E3" s="72" t="s">
        <v>5</v>
      </c>
      <c r="F3" s="72" t="s">
        <v>6</v>
      </c>
      <c r="G3" s="72" t="s">
        <v>7</v>
      </c>
      <c r="H3" s="72" t="s">
        <v>8</v>
      </c>
      <c r="I3" s="2" t="s">
        <v>9</v>
      </c>
      <c r="J3" s="3" t="s">
        <v>10</v>
      </c>
      <c r="L3" s="175" t="s">
        <v>11</v>
      </c>
      <c r="M3" s="175"/>
      <c r="N3" s="175"/>
    </row>
    <row r="4" spans="2:17" ht="15.6">
      <c r="B4" s="78" t="s">
        <v>12</v>
      </c>
      <c r="C4" s="79"/>
      <c r="D4" s="80"/>
      <c r="E4" s="80"/>
      <c r="F4" s="80"/>
      <c r="G4" s="81">
        <f t="shared" ref="G4:G13" si="0">E4*1.3</f>
        <v>0</v>
      </c>
      <c r="H4" s="82">
        <f t="shared" ref="H4:H14" si="1">C4-D4</f>
        <v>0</v>
      </c>
      <c r="I4" s="68" t="e">
        <f t="shared" ref="I4:I11" si="2">C4/D4</f>
        <v>#DIV/0!</v>
      </c>
      <c r="J4" s="6">
        <f t="shared" ref="J4:J11" si="3">C4-E4</f>
        <v>0</v>
      </c>
      <c r="L4" s="7" t="s">
        <v>5</v>
      </c>
      <c r="M4" s="8" t="s">
        <v>6</v>
      </c>
      <c r="N4" s="9" t="s">
        <v>13</v>
      </c>
      <c r="O4" s="10" t="s">
        <v>14</v>
      </c>
      <c r="P4" s="10" t="s">
        <v>15</v>
      </c>
      <c r="Q4" s="10" t="s">
        <v>16</v>
      </c>
    </row>
    <row r="5" spans="2:17" ht="15.6">
      <c r="B5" s="78" t="s">
        <v>17</v>
      </c>
      <c r="C5" s="79"/>
      <c r="D5" s="83">
        <v>0</v>
      </c>
      <c r="E5" s="83">
        <v>0</v>
      </c>
      <c r="F5" s="83">
        <f>E5*1.12</f>
        <v>0</v>
      </c>
      <c r="G5" s="83">
        <f t="shared" si="0"/>
        <v>0</v>
      </c>
      <c r="H5" s="83">
        <f t="shared" si="1"/>
        <v>0</v>
      </c>
      <c r="I5" s="68" t="e">
        <f t="shared" si="2"/>
        <v>#DIV/0!</v>
      </c>
      <c r="J5" s="6">
        <f t="shared" si="3"/>
        <v>0</v>
      </c>
      <c r="L5" s="4">
        <v>0</v>
      </c>
      <c r="M5" s="5">
        <f>L5*1.12</f>
        <v>0</v>
      </c>
      <c r="N5" s="11">
        <f>L5*1.3</f>
        <v>0</v>
      </c>
      <c r="O5" s="108">
        <v>0.4</v>
      </c>
      <c r="P5" s="109">
        <v>0.35</v>
      </c>
      <c r="Q5" s="110">
        <v>0.25</v>
      </c>
    </row>
    <row r="6" spans="2:17" ht="15.6">
      <c r="B6" s="78" t="s">
        <v>18</v>
      </c>
      <c r="C6" s="79"/>
      <c r="D6" s="80"/>
      <c r="E6" s="80"/>
      <c r="F6" s="80"/>
      <c r="G6" s="81">
        <f t="shared" si="0"/>
        <v>0</v>
      </c>
      <c r="H6" s="82">
        <f t="shared" si="1"/>
        <v>0</v>
      </c>
      <c r="I6" s="68" t="e">
        <f t="shared" si="2"/>
        <v>#DIV/0!</v>
      </c>
      <c r="J6" s="6">
        <f t="shared" si="3"/>
        <v>0</v>
      </c>
      <c r="L6" s="15"/>
      <c r="M6" s="15"/>
      <c r="N6" s="16"/>
      <c r="O6" s="111" t="s">
        <v>19</v>
      </c>
      <c r="P6" s="112" t="s">
        <v>20</v>
      </c>
      <c r="Q6" s="113" t="s">
        <v>21</v>
      </c>
    </row>
    <row r="7" spans="2:17" ht="15.6">
      <c r="B7" s="78" t="s">
        <v>22</v>
      </c>
      <c r="C7" s="79"/>
      <c r="D7" s="80"/>
      <c r="E7" s="80"/>
      <c r="F7" s="80"/>
      <c r="G7" s="81">
        <f t="shared" si="0"/>
        <v>0</v>
      </c>
      <c r="H7" s="82">
        <f t="shared" si="1"/>
        <v>0</v>
      </c>
      <c r="I7" s="68" t="e">
        <f t="shared" si="2"/>
        <v>#DIV/0!</v>
      </c>
      <c r="J7" s="6">
        <f t="shared" si="3"/>
        <v>0</v>
      </c>
      <c r="L7" s="20"/>
      <c r="M7" s="20"/>
      <c r="N7" s="21"/>
      <c r="O7" s="114">
        <v>0</v>
      </c>
      <c r="P7" s="114">
        <v>0</v>
      </c>
      <c r="Q7" s="114">
        <v>0</v>
      </c>
    </row>
    <row r="8" spans="2:17" ht="15.6">
      <c r="B8" s="78" t="s">
        <v>23</v>
      </c>
      <c r="C8" s="79"/>
      <c r="D8" s="80"/>
      <c r="E8" s="80"/>
      <c r="F8" s="80"/>
      <c r="G8" s="81">
        <f t="shared" si="0"/>
        <v>0</v>
      </c>
      <c r="H8" s="82">
        <f t="shared" si="1"/>
        <v>0</v>
      </c>
      <c r="I8" s="68" t="e">
        <f t="shared" si="2"/>
        <v>#DIV/0!</v>
      </c>
      <c r="J8" s="6">
        <f t="shared" si="3"/>
        <v>0</v>
      </c>
      <c r="L8" s="176" t="s">
        <v>24</v>
      </c>
      <c r="M8" s="176"/>
      <c r="N8" s="177"/>
    </row>
    <row r="9" spans="2:17" ht="15.6">
      <c r="B9" s="78" t="s">
        <v>25</v>
      </c>
      <c r="C9" s="79"/>
      <c r="D9" s="80"/>
      <c r="E9" s="80"/>
      <c r="F9" s="80"/>
      <c r="G9" s="81">
        <f t="shared" si="0"/>
        <v>0</v>
      </c>
      <c r="H9" s="82">
        <f t="shared" si="1"/>
        <v>0</v>
      </c>
      <c r="I9" s="68" t="e">
        <f t="shared" si="2"/>
        <v>#DIV/0!</v>
      </c>
      <c r="J9" s="6">
        <f t="shared" si="3"/>
        <v>0</v>
      </c>
      <c r="L9" s="20"/>
      <c r="M9" s="20"/>
      <c r="N9" s="21"/>
    </row>
    <row r="10" spans="2:17" ht="15.6">
      <c r="B10" s="78" t="s">
        <v>26</v>
      </c>
      <c r="C10" s="79"/>
      <c r="D10" s="80"/>
      <c r="E10" s="80"/>
      <c r="F10" s="80"/>
      <c r="G10" s="81">
        <f t="shared" si="0"/>
        <v>0</v>
      </c>
      <c r="H10" s="82">
        <f t="shared" si="1"/>
        <v>0</v>
      </c>
      <c r="I10" s="68" t="e">
        <f t="shared" si="2"/>
        <v>#DIV/0!</v>
      </c>
      <c r="J10" s="6">
        <f t="shared" si="3"/>
        <v>0</v>
      </c>
      <c r="L10" s="163" t="s">
        <v>27</v>
      </c>
      <c r="M10" s="163" t="s">
        <v>28</v>
      </c>
      <c r="N10" s="164" t="s">
        <v>29</v>
      </c>
    </row>
    <row r="11" spans="2:17" ht="15.6">
      <c r="B11" s="78" t="s">
        <v>30</v>
      </c>
      <c r="C11" s="79"/>
      <c r="D11" s="80"/>
      <c r="E11" s="80"/>
      <c r="F11" s="80"/>
      <c r="G11" s="81">
        <f t="shared" si="0"/>
        <v>0</v>
      </c>
      <c r="H11" s="82">
        <f t="shared" si="1"/>
        <v>0</v>
      </c>
      <c r="I11" s="68" t="e">
        <f t="shared" si="2"/>
        <v>#DIV/0!</v>
      </c>
      <c r="J11" s="6">
        <f t="shared" si="3"/>
        <v>0</v>
      </c>
      <c r="L11" s="23">
        <v>8.0000000000000002E-3</v>
      </c>
      <c r="M11" s="24">
        <v>0.01</v>
      </c>
      <c r="N11" s="25">
        <v>1.2E-2</v>
      </c>
    </row>
    <row r="12" spans="2:17" ht="15.6">
      <c r="B12" s="83" t="s">
        <v>31</v>
      </c>
      <c r="C12" s="79"/>
      <c r="D12" s="80"/>
      <c r="E12" s="80"/>
      <c r="F12" s="80"/>
      <c r="G12" s="81">
        <f t="shared" si="0"/>
        <v>0</v>
      </c>
      <c r="H12" s="82">
        <f t="shared" si="1"/>
        <v>0</v>
      </c>
      <c r="I12" s="68"/>
      <c r="J12" s="6"/>
      <c r="L12" s="23"/>
      <c r="M12" s="24"/>
      <c r="N12" s="25"/>
    </row>
    <row r="13" spans="2:17" ht="15.6">
      <c r="B13" s="83" t="s">
        <v>32</v>
      </c>
      <c r="C13" s="79"/>
      <c r="D13" s="80"/>
      <c r="E13" s="80"/>
      <c r="F13" s="80"/>
      <c r="G13" s="81">
        <f t="shared" si="0"/>
        <v>0</v>
      </c>
      <c r="H13" s="82">
        <f t="shared" si="1"/>
        <v>0</v>
      </c>
      <c r="I13" s="68"/>
      <c r="J13" s="6"/>
      <c r="L13" s="23"/>
      <c r="M13" s="24"/>
      <c r="N13" s="25"/>
    </row>
    <row r="14" spans="2:17" ht="20.399999999999999">
      <c r="B14" s="73" t="s">
        <v>33</v>
      </c>
      <c r="C14" s="74">
        <f>SUM(C4:C11)</f>
        <v>0</v>
      </c>
      <c r="D14" s="74">
        <f>SUM(D4:D11)</f>
        <v>0</v>
      </c>
      <c r="E14" s="75">
        <f>SUM(E4:E13)</f>
        <v>0</v>
      </c>
      <c r="F14" s="76">
        <f>SUM(F4:F13)</f>
        <v>0</v>
      </c>
      <c r="G14" s="76">
        <f>SUM(G4:G13)</f>
        <v>0</v>
      </c>
      <c r="H14" s="77">
        <f t="shared" si="1"/>
        <v>0</v>
      </c>
      <c r="I14" s="26" t="e">
        <f>C14/D14</f>
        <v>#DIV/0!</v>
      </c>
      <c r="J14" s="27">
        <f>SUM(J4:J11)</f>
        <v>0</v>
      </c>
      <c r="L14" s="20"/>
      <c r="M14" s="20"/>
      <c r="N14" s="21"/>
      <c r="O14" s="115"/>
      <c r="P14" s="116" t="s">
        <v>34</v>
      </c>
      <c r="Q14" s="117"/>
    </row>
    <row r="15" spans="2:17" ht="20.399999999999999">
      <c r="L15" s="176" t="s">
        <v>35</v>
      </c>
      <c r="M15" s="176"/>
      <c r="N15" s="177"/>
      <c r="O15" s="115"/>
      <c r="P15" s="116" t="s">
        <v>36</v>
      </c>
      <c r="Q15" s="117"/>
    </row>
    <row r="16" spans="2:17" ht="20.399999999999999">
      <c r="L16" s="20"/>
      <c r="M16" s="20"/>
      <c r="N16" s="21"/>
      <c r="O16" s="115"/>
      <c r="P16" s="116" t="s">
        <v>37</v>
      </c>
      <c r="Q16" s="117"/>
    </row>
    <row r="17" spans="1:28" ht="20.399999999999999">
      <c r="B17" s="31" t="s">
        <v>38</v>
      </c>
      <c r="C17" s="32">
        <v>2025</v>
      </c>
      <c r="D17" s="32">
        <v>2025</v>
      </c>
      <c r="E17" s="33">
        <f>E14*0.2%</f>
        <v>0</v>
      </c>
      <c r="F17" s="33">
        <f>F14*0.2%</f>
        <v>0</v>
      </c>
      <c r="G17" s="33">
        <f>G14*0.2%</f>
        <v>0</v>
      </c>
      <c r="L17" s="170" t="s">
        <v>39</v>
      </c>
      <c r="M17" s="170"/>
      <c r="N17" s="171"/>
      <c r="O17" s="115"/>
      <c r="P17" s="116" t="s">
        <v>40</v>
      </c>
      <c r="Q17" s="117"/>
    </row>
    <row r="18" spans="1:28" ht="15.6">
      <c r="B18" s="34" t="s">
        <v>41</v>
      </c>
      <c r="C18" s="35">
        <v>26</v>
      </c>
      <c r="D18" s="35">
        <v>26</v>
      </c>
      <c r="F18" t="s">
        <v>42</v>
      </c>
      <c r="L18" s="170" t="s">
        <v>43</v>
      </c>
      <c r="M18" s="170"/>
      <c r="N18" s="171"/>
    </row>
    <row r="19" spans="1:28" ht="15.6">
      <c r="B19" s="34" t="s">
        <v>44</v>
      </c>
      <c r="C19" s="35">
        <v>25</v>
      </c>
      <c r="D19" s="35">
        <v>25</v>
      </c>
    </row>
    <row r="20" spans="1:28" ht="20.399999999999999">
      <c r="B20" s="34" t="s">
        <v>45</v>
      </c>
      <c r="C20" s="35">
        <v>26</v>
      </c>
      <c r="D20" s="35">
        <v>26</v>
      </c>
      <c r="L20" s="118" t="s">
        <v>46</v>
      </c>
      <c r="M20" s="37"/>
      <c r="N20" s="37"/>
    </row>
    <row r="21" spans="1:28" ht="15.6">
      <c r="B21" s="34" t="s">
        <v>47</v>
      </c>
      <c r="C21" s="35">
        <v>25</v>
      </c>
      <c r="D21" s="35">
        <v>25</v>
      </c>
    </row>
    <row r="22" spans="1:28" ht="15.6">
      <c r="B22" s="34" t="s">
        <v>48</v>
      </c>
      <c r="C22" s="35">
        <v>25</v>
      </c>
      <c r="D22" s="35">
        <v>25</v>
      </c>
      <c r="M22" s="49"/>
    </row>
    <row r="23" spans="1:28" ht="15.6">
      <c r="B23" s="34"/>
      <c r="C23" s="35"/>
      <c r="D23" s="35"/>
      <c r="F23" s="129" t="s">
        <v>49</v>
      </c>
      <c r="G23" s="130"/>
      <c r="H23" s="131" t="s">
        <v>50</v>
      </c>
    </row>
    <row r="24" spans="1:28" ht="15.6">
      <c r="B24" s="34"/>
      <c r="C24" s="35"/>
      <c r="D24" s="35"/>
      <c r="F24" s="132" t="s">
        <v>51</v>
      </c>
      <c r="G24" s="133"/>
      <c r="H24" s="134">
        <v>120</v>
      </c>
    </row>
    <row r="25" spans="1:28" ht="15.6">
      <c r="B25" s="44"/>
      <c r="C25" s="35"/>
      <c r="D25" s="35"/>
      <c r="F25" s="132" t="s">
        <v>52</v>
      </c>
      <c r="G25" s="133"/>
      <c r="H25" s="134">
        <v>3</v>
      </c>
      <c r="M25" s="45"/>
      <c r="N25" s="119" t="s">
        <v>53</v>
      </c>
    </row>
    <row r="26" spans="1:28">
      <c r="F26" s="132" t="s">
        <v>54</v>
      </c>
      <c r="G26" s="133"/>
      <c r="H26" s="134">
        <v>40</v>
      </c>
      <c r="M26" s="47"/>
      <c r="N26" s="119" t="s">
        <v>55</v>
      </c>
    </row>
    <row r="27" spans="1:28">
      <c r="F27" s="132" t="s">
        <v>56</v>
      </c>
      <c r="G27" s="133"/>
      <c r="H27" s="135">
        <v>0.41</v>
      </c>
      <c r="M27" s="49"/>
      <c r="N27" s="119" t="s">
        <v>57</v>
      </c>
    </row>
    <row r="29" spans="1:28" ht="15.6">
      <c r="A29" s="121" t="s">
        <v>58</v>
      </c>
      <c r="B29" s="121" t="s">
        <v>59</v>
      </c>
      <c r="C29" s="121" t="s">
        <v>60</v>
      </c>
      <c r="D29" s="121" t="s">
        <v>61</v>
      </c>
      <c r="E29" s="121" t="s">
        <v>62</v>
      </c>
      <c r="F29" s="121" t="s">
        <v>63</v>
      </c>
      <c r="G29" s="121" t="s">
        <v>60</v>
      </c>
      <c r="H29" s="120" t="s">
        <v>64</v>
      </c>
      <c r="I29" s="121" t="s">
        <v>61</v>
      </c>
      <c r="J29" s="120" t="s">
        <v>65</v>
      </c>
      <c r="K29" s="121" t="s">
        <v>62</v>
      </c>
      <c r="L29" s="120" t="s">
        <v>66</v>
      </c>
      <c r="M29" s="121" t="s">
        <v>67</v>
      </c>
      <c r="N29" s="122" t="s">
        <v>68</v>
      </c>
      <c r="O29" s="122" t="s">
        <v>51</v>
      </c>
      <c r="P29" s="122" t="s">
        <v>54</v>
      </c>
      <c r="Q29" s="122" t="s">
        <v>69</v>
      </c>
      <c r="S29" s="150" t="s">
        <v>92</v>
      </c>
      <c r="T29" s="151">
        <v>0.23</v>
      </c>
      <c r="U29" s="151" t="s">
        <v>93</v>
      </c>
      <c r="V29" s="151">
        <v>0.28999999999999998</v>
      </c>
      <c r="W29" s="151" t="s">
        <v>93</v>
      </c>
      <c r="X29" s="151">
        <v>0.2</v>
      </c>
      <c r="Y29" s="151" t="s">
        <v>93</v>
      </c>
      <c r="Z29" s="151">
        <v>0.28000000000000003</v>
      </c>
      <c r="AA29" s="151" t="s">
        <v>93</v>
      </c>
      <c r="AB29" s="152" t="s">
        <v>73</v>
      </c>
    </row>
    <row r="30" spans="1:28" ht="15.6">
      <c r="A30" s="136">
        <v>997</v>
      </c>
      <c r="B30" s="137" t="s">
        <v>82</v>
      </c>
      <c r="C30" s="107">
        <v>180000</v>
      </c>
      <c r="D30" s="139">
        <f t="shared" ref="D30:D36" si="4">C30*1.12</f>
        <v>201600.00000000003</v>
      </c>
      <c r="E30" s="123">
        <f t="shared" ref="E30:E39" si="5">C30*1.3</f>
        <v>234000</v>
      </c>
      <c r="F30" s="106">
        <v>139354.01</v>
      </c>
      <c r="G30" s="138">
        <f t="shared" ref="G30:G38" si="6">C30-F30</f>
        <v>40645.989999999991</v>
      </c>
      <c r="H30" s="138">
        <f>G30/10</f>
        <v>4064.5989999999993</v>
      </c>
      <c r="I30" s="139">
        <f>D30-F30</f>
        <v>62245.99000000002</v>
      </c>
      <c r="J30" s="139"/>
      <c r="K30" s="123">
        <f>E30-F30</f>
        <v>94645.989999999991</v>
      </c>
      <c r="L30" s="123"/>
      <c r="M30" s="124">
        <f t="shared" ref="M30:M38" si="7">F30/C30</f>
        <v>0.77418894444444453</v>
      </c>
      <c r="N30" s="125"/>
      <c r="O30" s="125"/>
      <c r="P30" s="126"/>
      <c r="Q30" s="125"/>
      <c r="S30" s="144" t="s">
        <v>75</v>
      </c>
      <c r="T30" s="156">
        <v>28522.76</v>
      </c>
      <c r="U30" s="161">
        <v>23699.18</v>
      </c>
      <c r="V30" s="156">
        <v>35963.480000000003</v>
      </c>
      <c r="W30" s="161">
        <v>30475.69</v>
      </c>
      <c r="X30" s="145">
        <v>24802.400000000001</v>
      </c>
      <c r="Y30" s="145"/>
      <c r="Z30" s="145">
        <v>34723.360000000001</v>
      </c>
      <c r="AA30" s="145"/>
      <c r="AB30" s="146">
        <v>124012</v>
      </c>
    </row>
    <row r="31" spans="1:28" ht="15.6">
      <c r="A31" s="136">
        <v>257</v>
      </c>
      <c r="B31" s="137" t="s">
        <v>71</v>
      </c>
      <c r="C31" s="107">
        <v>233744</v>
      </c>
      <c r="D31" s="139">
        <f t="shared" si="4"/>
        <v>261793.28000000003</v>
      </c>
      <c r="E31" s="123">
        <f t="shared" si="5"/>
        <v>303867.2</v>
      </c>
      <c r="F31" s="106">
        <v>149548.5</v>
      </c>
      <c r="G31" s="138">
        <f t="shared" si="6"/>
        <v>84195.5</v>
      </c>
      <c r="H31" s="138">
        <f>G31/10</f>
        <v>8419.5499999999993</v>
      </c>
      <c r="I31" s="139">
        <f>D31-F31</f>
        <v>112244.78000000003</v>
      </c>
      <c r="J31" s="139">
        <f>I31/11</f>
        <v>10204.070909090911</v>
      </c>
      <c r="K31" s="123">
        <f>E31-F31</f>
        <v>154318.70000000001</v>
      </c>
      <c r="L31" s="123">
        <f>K31/11</f>
        <v>14028.972727272729</v>
      </c>
      <c r="M31" s="124">
        <f t="shared" si="7"/>
        <v>0.63979610171811896</v>
      </c>
      <c r="N31" s="125"/>
      <c r="O31" s="125"/>
      <c r="P31" s="126"/>
      <c r="Q31" s="125"/>
      <c r="S31" s="147" t="s">
        <v>77</v>
      </c>
      <c r="T31" s="157">
        <v>40135.230000000003</v>
      </c>
      <c r="U31" s="161">
        <v>32286.45</v>
      </c>
      <c r="V31" s="157">
        <v>50605.29</v>
      </c>
      <c r="W31" s="161">
        <v>40490.080000000002</v>
      </c>
      <c r="X31" s="148">
        <v>34900.199999999997</v>
      </c>
      <c r="Y31" s="148"/>
      <c r="Z31" s="148">
        <v>48860.28</v>
      </c>
      <c r="AA31" s="148"/>
      <c r="AB31" s="149">
        <v>174501</v>
      </c>
    </row>
    <row r="32" spans="1:28" ht="15.6">
      <c r="A32" s="136">
        <v>1017</v>
      </c>
      <c r="B32" s="137" t="s">
        <v>74</v>
      </c>
      <c r="C32" s="107">
        <v>269314</v>
      </c>
      <c r="D32" s="139">
        <f t="shared" si="4"/>
        <v>301631.68000000005</v>
      </c>
      <c r="E32" s="123">
        <f t="shared" si="5"/>
        <v>350108.2</v>
      </c>
      <c r="F32" s="106">
        <v>171648.07</v>
      </c>
      <c r="G32" s="138">
        <f t="shared" si="6"/>
        <v>97665.93</v>
      </c>
      <c r="H32" s="138">
        <f>G32/9</f>
        <v>10851.769999999999</v>
      </c>
      <c r="I32" s="139"/>
      <c r="J32" s="139"/>
      <c r="K32" s="123"/>
      <c r="L32" s="123"/>
      <c r="M32" s="124">
        <f t="shared" si="7"/>
        <v>0.63735294117647057</v>
      </c>
      <c r="N32" s="125"/>
      <c r="O32" s="125"/>
      <c r="P32" s="126"/>
      <c r="Q32" s="125"/>
      <c r="S32" s="147" t="s">
        <v>79</v>
      </c>
      <c r="T32" s="157">
        <v>34500</v>
      </c>
      <c r="U32" s="161">
        <v>21765.9</v>
      </c>
      <c r="V32" s="157">
        <v>43500</v>
      </c>
      <c r="W32" s="161">
        <v>28963.5</v>
      </c>
      <c r="X32" s="148">
        <v>30000</v>
      </c>
      <c r="Y32" s="148"/>
      <c r="Z32" s="148">
        <v>42000</v>
      </c>
      <c r="AA32" s="148"/>
      <c r="AB32" s="149">
        <v>150000</v>
      </c>
    </row>
    <row r="33" spans="1:28" ht="15.6">
      <c r="A33" s="136">
        <v>157</v>
      </c>
      <c r="B33" s="137" t="s">
        <v>76</v>
      </c>
      <c r="C33" s="107">
        <v>235633</v>
      </c>
      <c r="D33" s="139">
        <f t="shared" si="4"/>
        <v>263908.96000000002</v>
      </c>
      <c r="E33" s="123">
        <f t="shared" si="5"/>
        <v>306322.90000000002</v>
      </c>
      <c r="F33" s="140">
        <v>146808.19</v>
      </c>
      <c r="G33" s="138">
        <f t="shared" si="6"/>
        <v>88824.81</v>
      </c>
      <c r="H33" s="138">
        <f>G33/10</f>
        <v>8882.4809999999998</v>
      </c>
      <c r="I33" s="139">
        <f t="shared" ref="I33:I38" si="8">D33-F33</f>
        <v>117100.77000000002</v>
      </c>
      <c r="J33" s="139">
        <f>I33/10</f>
        <v>11710.077000000001</v>
      </c>
      <c r="K33" s="123">
        <f t="shared" ref="K33:K38" si="9">E33-F33</f>
        <v>159514.71000000002</v>
      </c>
      <c r="L33" s="123">
        <f>K33/10</f>
        <v>15951.471000000001</v>
      </c>
      <c r="M33" s="124">
        <f t="shared" si="7"/>
        <v>0.62303747777263796</v>
      </c>
      <c r="N33" s="125"/>
      <c r="O33" s="125"/>
      <c r="P33" s="126"/>
      <c r="Q33" s="125"/>
      <c r="S33" s="147" t="s">
        <v>81</v>
      </c>
      <c r="T33" s="157">
        <v>41400</v>
      </c>
      <c r="U33" s="161">
        <v>28619.5</v>
      </c>
      <c r="V33" s="157">
        <v>52200</v>
      </c>
      <c r="W33" s="161">
        <v>33746.550000000003</v>
      </c>
      <c r="X33" s="148">
        <v>36000</v>
      </c>
      <c r="Y33" s="148"/>
      <c r="Z33" s="148">
        <v>50400</v>
      </c>
      <c r="AA33" s="148"/>
      <c r="AB33" s="149">
        <v>180000</v>
      </c>
    </row>
    <row r="34" spans="1:28" ht="15.6">
      <c r="A34" s="136">
        <v>363</v>
      </c>
      <c r="B34" s="137" t="s">
        <v>87</v>
      </c>
      <c r="C34" s="107">
        <v>220000</v>
      </c>
      <c r="D34" s="139">
        <f t="shared" si="4"/>
        <v>246400.00000000003</v>
      </c>
      <c r="E34" s="123">
        <f t="shared" si="5"/>
        <v>286000</v>
      </c>
      <c r="F34" s="106">
        <v>135115.64000000001</v>
      </c>
      <c r="G34" s="138">
        <f t="shared" si="6"/>
        <v>84884.359999999986</v>
      </c>
      <c r="H34" s="138">
        <f>G34/9</f>
        <v>9431.5955555555538</v>
      </c>
      <c r="I34" s="139">
        <f t="shared" si="8"/>
        <v>111284.36000000002</v>
      </c>
      <c r="J34" s="139">
        <f>I34/9</f>
        <v>12364.928888888891</v>
      </c>
      <c r="K34" s="123">
        <f t="shared" si="9"/>
        <v>150884.35999999999</v>
      </c>
      <c r="L34" s="123">
        <f>K34/9</f>
        <v>16764.928888888888</v>
      </c>
      <c r="M34" s="124">
        <f t="shared" si="7"/>
        <v>0.6141620000000001</v>
      </c>
      <c r="N34" s="125"/>
      <c r="O34" s="125"/>
      <c r="P34" s="126"/>
      <c r="Q34" s="125"/>
      <c r="S34" s="147" t="s">
        <v>94</v>
      </c>
      <c r="T34" s="157">
        <v>27600</v>
      </c>
      <c r="U34" s="161">
        <v>18228.96</v>
      </c>
      <c r="V34" s="157">
        <v>34800</v>
      </c>
      <c r="W34" s="161">
        <v>26925.89</v>
      </c>
      <c r="X34" s="148">
        <v>24000</v>
      </c>
      <c r="Y34" s="148"/>
      <c r="Z34" s="148">
        <v>33600</v>
      </c>
      <c r="AA34" s="148"/>
      <c r="AB34" s="149">
        <v>120000</v>
      </c>
    </row>
    <row r="35" spans="1:28" ht="15.6">
      <c r="A35" s="136">
        <v>109</v>
      </c>
      <c r="B35" s="137" t="s">
        <v>78</v>
      </c>
      <c r="C35" s="107">
        <v>169598</v>
      </c>
      <c r="D35" s="139">
        <f t="shared" si="4"/>
        <v>189949.76</v>
      </c>
      <c r="E35" s="123">
        <f t="shared" si="5"/>
        <v>220477.4</v>
      </c>
      <c r="F35" s="140">
        <v>102588.12</v>
      </c>
      <c r="G35" s="138">
        <f t="shared" si="6"/>
        <v>67009.88</v>
      </c>
      <c r="H35" s="138">
        <f>G35/11</f>
        <v>6091.8072727272729</v>
      </c>
      <c r="I35" s="139">
        <f t="shared" si="8"/>
        <v>87361.640000000014</v>
      </c>
      <c r="J35" s="139">
        <f>I35/11</f>
        <v>7941.9672727272737</v>
      </c>
      <c r="K35" s="123">
        <f t="shared" si="9"/>
        <v>117889.28</v>
      </c>
      <c r="L35" s="123">
        <f>K35/11</f>
        <v>10717.207272727273</v>
      </c>
      <c r="M35" s="124">
        <f t="shared" si="7"/>
        <v>0.60488991615467158</v>
      </c>
      <c r="N35" s="125"/>
      <c r="O35" s="125"/>
      <c r="P35" s="126"/>
      <c r="Q35" s="125"/>
      <c r="S35" s="147" t="s">
        <v>86</v>
      </c>
      <c r="T35" s="157">
        <v>26450</v>
      </c>
      <c r="U35" s="161">
        <v>14938.38</v>
      </c>
      <c r="V35" s="157">
        <v>33350</v>
      </c>
      <c r="W35" s="161">
        <v>20743.73</v>
      </c>
      <c r="X35" s="148">
        <v>23000</v>
      </c>
      <c r="Y35" s="148"/>
      <c r="Z35" s="148">
        <v>32200</v>
      </c>
      <c r="AA35" s="148"/>
      <c r="AB35" s="149">
        <v>115000</v>
      </c>
    </row>
    <row r="36" spans="1:28" ht="15.6">
      <c r="A36" s="136">
        <v>236</v>
      </c>
      <c r="B36" s="137" t="s">
        <v>85</v>
      </c>
      <c r="C36" s="107">
        <v>152846</v>
      </c>
      <c r="D36" s="139">
        <f t="shared" si="4"/>
        <v>171187.52000000002</v>
      </c>
      <c r="E36" s="123">
        <f t="shared" si="5"/>
        <v>198699.80000000002</v>
      </c>
      <c r="F36" s="140">
        <v>91900.81</v>
      </c>
      <c r="G36" s="138">
        <f t="shared" si="6"/>
        <v>60945.19</v>
      </c>
      <c r="H36" s="138">
        <f>G36/9</f>
        <v>6771.6877777777781</v>
      </c>
      <c r="I36" s="139">
        <f t="shared" si="8"/>
        <v>79286.710000000021</v>
      </c>
      <c r="J36" s="139">
        <f>I36/9</f>
        <v>8809.6344444444476</v>
      </c>
      <c r="K36" s="123">
        <f t="shared" si="9"/>
        <v>106798.99000000002</v>
      </c>
      <c r="L36" s="123">
        <f>K36/9</f>
        <v>11866.554444444446</v>
      </c>
      <c r="M36" s="124">
        <f t="shared" si="7"/>
        <v>0.60126408280229771</v>
      </c>
      <c r="N36" s="125"/>
      <c r="O36" s="125"/>
      <c r="P36" s="126"/>
      <c r="Q36" s="125"/>
      <c r="S36" s="147" t="s">
        <v>88</v>
      </c>
      <c r="T36" s="157">
        <v>39336.67</v>
      </c>
      <c r="U36" s="161">
        <v>29803.41</v>
      </c>
      <c r="V36" s="157">
        <v>49598.41</v>
      </c>
      <c r="W36" s="161">
        <v>40205.94</v>
      </c>
      <c r="X36" s="148">
        <v>34205.800000000003</v>
      </c>
      <c r="Y36" s="148"/>
      <c r="Z36" s="148">
        <v>47888.12</v>
      </c>
      <c r="AA36" s="148"/>
      <c r="AB36" s="149">
        <v>171029</v>
      </c>
    </row>
    <row r="37" spans="1:28" ht="15.6">
      <c r="A37" s="136">
        <v>117</v>
      </c>
      <c r="B37" s="137" t="s">
        <v>80</v>
      </c>
      <c r="C37" s="107">
        <v>167300</v>
      </c>
      <c r="D37" s="139">
        <v>145600</v>
      </c>
      <c r="E37" s="123">
        <f t="shared" si="5"/>
        <v>217490</v>
      </c>
      <c r="F37" s="140">
        <v>95764.39</v>
      </c>
      <c r="G37" s="138">
        <f t="shared" si="6"/>
        <v>71535.61</v>
      </c>
      <c r="H37" s="138">
        <f>G37/11</f>
        <v>6503.2372727272732</v>
      </c>
      <c r="I37" s="139">
        <f t="shared" si="8"/>
        <v>49835.61</v>
      </c>
      <c r="J37" s="139">
        <f>I37/11</f>
        <v>4530.51</v>
      </c>
      <c r="K37" s="123">
        <f t="shared" si="9"/>
        <v>121725.61</v>
      </c>
      <c r="L37" s="123">
        <f>K37/11</f>
        <v>11065.964545454546</v>
      </c>
      <c r="M37" s="124">
        <f t="shared" si="7"/>
        <v>0.57241117752540349</v>
      </c>
      <c r="N37" s="125"/>
      <c r="O37" s="125"/>
      <c r="P37" s="126"/>
      <c r="Q37" s="125"/>
      <c r="S37" s="147" t="s">
        <v>31</v>
      </c>
      <c r="T37" s="157">
        <v>34500</v>
      </c>
      <c r="U37" s="161">
        <v>21901.4</v>
      </c>
      <c r="V37" s="157">
        <v>43500</v>
      </c>
      <c r="W37" s="161">
        <v>37642.78</v>
      </c>
      <c r="X37" s="148">
        <v>30000</v>
      </c>
      <c r="Y37" s="148"/>
      <c r="Z37" s="148">
        <v>42000</v>
      </c>
      <c r="AA37" s="148"/>
      <c r="AB37" s="149">
        <v>150000</v>
      </c>
    </row>
    <row r="38" spans="1:28" ht="15.6">
      <c r="A38" s="136">
        <v>165</v>
      </c>
      <c r="B38" s="137" t="s">
        <v>84</v>
      </c>
      <c r="C38" s="107">
        <v>200000</v>
      </c>
      <c r="D38" s="139">
        <f>C38*1.12</f>
        <v>224000.00000000003</v>
      </c>
      <c r="E38" s="123">
        <f t="shared" si="5"/>
        <v>260000</v>
      </c>
      <c r="F38" s="106">
        <v>113166.98</v>
      </c>
      <c r="G38" s="138">
        <f t="shared" si="6"/>
        <v>86833.02</v>
      </c>
      <c r="H38" s="138">
        <f>G38/10</f>
        <v>8683.3019999999997</v>
      </c>
      <c r="I38" s="139">
        <f t="shared" si="8"/>
        <v>110833.02000000003</v>
      </c>
      <c r="J38" s="139">
        <f>I38/10</f>
        <v>11083.302000000003</v>
      </c>
      <c r="K38" s="123">
        <f t="shared" si="9"/>
        <v>146833.02000000002</v>
      </c>
      <c r="L38" s="123">
        <f>K38/10</f>
        <v>14683.302000000001</v>
      </c>
      <c r="M38" s="124">
        <f t="shared" si="7"/>
        <v>0.56583490000000003</v>
      </c>
      <c r="N38" s="125"/>
      <c r="O38" s="126"/>
      <c r="P38" s="126"/>
      <c r="Q38" s="125"/>
      <c r="S38" s="144" t="s">
        <v>32</v>
      </c>
      <c r="T38" s="158">
        <v>41147.46</v>
      </c>
      <c r="U38" s="161">
        <v>36302.589999999997</v>
      </c>
      <c r="V38" s="162">
        <v>51881.58</v>
      </c>
      <c r="W38" s="161">
        <v>41602.44</v>
      </c>
      <c r="X38" s="159">
        <v>35780.400000000001</v>
      </c>
      <c r="Y38" s="153"/>
      <c r="Z38" s="153">
        <v>50092.56</v>
      </c>
      <c r="AA38" s="153"/>
      <c r="AB38" s="154">
        <v>178902</v>
      </c>
    </row>
    <row r="39" spans="1:28">
      <c r="A39" s="136"/>
      <c r="B39" s="137" t="s">
        <v>89</v>
      </c>
      <c r="C39" s="138"/>
      <c r="D39" s="139">
        <f>C39*1.12</f>
        <v>0</v>
      </c>
      <c r="E39" s="123">
        <f t="shared" si="5"/>
        <v>0</v>
      </c>
      <c r="F39" s="138"/>
      <c r="G39" s="139" t="e">
        <f>D39-#REF!</f>
        <v>#REF!</v>
      </c>
      <c r="H39" s="139" t="e">
        <f>G39/11</f>
        <v>#REF!</v>
      </c>
      <c r="I39" s="123" t="e">
        <f>E39-#REF!</f>
        <v>#REF!</v>
      </c>
      <c r="J39" s="123" t="e">
        <f>I39/11</f>
        <v>#REF!</v>
      </c>
      <c r="K39" s="124" t="e">
        <f>#REF!/C39</f>
        <v>#REF!</v>
      </c>
      <c r="L39" s="125">
        <v>2.17</v>
      </c>
      <c r="M39" s="126"/>
      <c r="N39" s="126"/>
      <c r="O39" s="125"/>
      <c r="S39" s="155" t="s">
        <v>95</v>
      </c>
      <c r="T39" s="155" t="s">
        <v>96</v>
      </c>
      <c r="U39" s="160"/>
      <c r="V39" s="155" t="s">
        <v>97</v>
      </c>
      <c r="W39" s="160"/>
      <c r="X39" s="155" t="s">
        <v>98</v>
      </c>
      <c r="Y39" s="155"/>
      <c r="Z39" s="155" t="s">
        <v>99</v>
      </c>
      <c r="AA39" s="155"/>
      <c r="AB39" s="155" t="s">
        <v>95</v>
      </c>
    </row>
    <row r="40" spans="1:28" ht="22.8">
      <c r="B40" s="127"/>
      <c r="C40" s="141">
        <f>SUM(C30:C39)</f>
        <v>1828435</v>
      </c>
      <c r="D40" s="141">
        <f>SUM(D30:D39)</f>
        <v>2006071.2000000002</v>
      </c>
      <c r="E40" s="141">
        <f>SUM(E30:E39)</f>
        <v>2376965.5</v>
      </c>
    </row>
    <row r="41" spans="1:28" ht="22.8">
      <c r="B41" s="127"/>
      <c r="C41" s="127"/>
      <c r="D41" s="127"/>
      <c r="E41" s="127"/>
      <c r="F41" s="63">
        <f>SUM(F30:F39)</f>
        <v>1145894.7100000002</v>
      </c>
      <c r="G41" s="138">
        <f>C40-F41</f>
        <v>682540.2899999998</v>
      </c>
      <c r="H41" s="138">
        <f>G41/8</f>
        <v>85317.536249999976</v>
      </c>
      <c r="I41" s="139">
        <f>D40-F41</f>
        <v>860176.49</v>
      </c>
      <c r="J41" s="139">
        <f>I41/8</f>
        <v>107522.06125</v>
      </c>
      <c r="K41" s="123">
        <f>E40-F41</f>
        <v>1231070.7899999998</v>
      </c>
      <c r="L41" s="123">
        <f>K41/8</f>
        <v>153883.84874999998</v>
      </c>
      <c r="N41" s="127"/>
      <c r="O41" s="128"/>
      <c r="P41" s="128"/>
      <c r="Q41" s="128"/>
    </row>
    <row r="42" spans="1:28" ht="22.8">
      <c r="B42" s="142"/>
      <c r="C42" s="143">
        <f>C40*0.2%</f>
        <v>3656.87</v>
      </c>
      <c r="D42" s="127"/>
      <c r="E42" s="127"/>
      <c r="G42" s="127"/>
      <c r="H42" s="127"/>
      <c r="I42" s="127"/>
      <c r="J42" s="127"/>
      <c r="L42" s="124">
        <f>F41/C40</f>
        <v>0.62670792781805218</v>
      </c>
      <c r="M42" s="127"/>
      <c r="N42" s="127"/>
      <c r="O42" s="128"/>
      <c r="P42" s="128"/>
      <c r="Q42" s="128"/>
    </row>
    <row r="46" spans="1:28">
      <c r="B46" s="84"/>
      <c r="C46" s="84"/>
      <c r="D46" s="84"/>
      <c r="E46" s="84"/>
    </row>
    <row r="47" spans="1:28">
      <c r="B47" s="67"/>
      <c r="C47" s="67"/>
      <c r="D47" s="67"/>
      <c r="E47" s="67"/>
      <c r="F47" s="67"/>
    </row>
  </sheetData>
  <autoFilter ref="A29:Q42" xr:uid="{D90D796F-C919-4136-A046-F3C7E29069F7}">
    <sortState xmlns:xlrd2="http://schemas.microsoft.com/office/spreadsheetml/2017/richdata2" ref="A30:Q42">
      <sortCondition descending="1" ref="M29:M42"/>
    </sortState>
  </autoFilter>
  <mergeCells count="7">
    <mergeCell ref="L18:N18"/>
    <mergeCell ref="B2:C2"/>
    <mergeCell ref="D2:I2"/>
    <mergeCell ref="L3:N3"/>
    <mergeCell ref="L8:N8"/>
    <mergeCell ref="L15:N15"/>
    <mergeCell ref="L17:N17"/>
  </mergeCells>
  <conditionalFormatting sqref="D4 D6:D13">
    <cfRule type="cellIs" dxfId="23" priority="3" operator="lessThan">
      <formula>$E4</formula>
    </cfRule>
    <cfRule type="cellIs" dxfId="22" priority="4" operator="greaterThan">
      <formula>$G4</formula>
    </cfRule>
    <cfRule type="cellIs" dxfId="21" priority="5" operator="greaterThan">
      <formula>$F4</formula>
    </cfRule>
    <cfRule type="cellIs" dxfId="20" priority="6" operator="greaterThan">
      <formula>$E4</formula>
    </cfRule>
  </conditionalFormatting>
  <conditionalFormatting sqref="H4 H6:H14">
    <cfRule type="cellIs" dxfId="19" priority="7" operator="greaterThan">
      <formula>0</formula>
    </cfRule>
    <cfRule type="cellIs" dxfId="18" priority="8" operator="lessThan">
      <formula>0</formula>
    </cfRule>
  </conditionalFormatting>
  <conditionalFormatting sqref="I4:I14">
    <cfRule type="cellIs" dxfId="17" priority="9" operator="lessThan">
      <formula>1</formula>
    </cfRule>
    <cfRule type="cellIs" dxfId="16" priority="10" operator="greaterThan">
      <formula>1</formula>
    </cfRule>
  </conditionalFormatting>
  <conditionalFormatting sqref="M30:M37 L42 K38:K39">
    <cfRule type="colorScale" priority="11">
      <colorScale>
        <cfvo type="min"/>
        <cfvo type="max"/>
        <color rgb="FFFFEF9C"/>
        <color rgb="FF63BE7B"/>
      </colorScale>
    </cfRule>
  </conditionalFormatting>
  <conditionalFormatting sqref="M30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00B050"/>
      </colorScale>
    </cfRule>
  </conditionalFormatting>
  <pageMargins left="0.511811024" right="0.511811024" top="0.78740157499999996" bottom="0.78740157499999996" header="0.31496062000000002" footer="0.31496062000000002"/>
  <pageSetup orientation="portrait" horizontalDpi="360" verticalDpi="3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B311-8ECB-4792-9C17-C12DB02B4931}">
  <dimension ref="A2:Q46"/>
  <sheetViews>
    <sheetView topLeftCell="A24" zoomScale="88" zoomScaleNormal="88" workbookViewId="0">
      <selection activeCell="F43" sqref="F43"/>
    </sheetView>
  </sheetViews>
  <sheetFormatPr defaultRowHeight="14.4"/>
  <cols>
    <col min="1" max="1" width="10.109375" bestFit="1" customWidth="1"/>
    <col min="2" max="2" width="23.33203125" bestFit="1" customWidth="1"/>
    <col min="3" max="3" width="18.21875" customWidth="1"/>
    <col min="4" max="4" width="18.77734375" bestFit="1" customWidth="1"/>
    <col min="5" max="5" width="17.6640625" bestFit="1" customWidth="1"/>
    <col min="6" max="6" width="18.88671875" customWidth="1"/>
    <col min="7" max="7" width="20.77734375" customWidth="1"/>
    <col min="8" max="8" width="15.88671875" bestFit="1" customWidth="1"/>
    <col min="9" max="9" width="21" hidden="1" customWidth="1"/>
    <col min="10" max="10" width="17" hidden="1" customWidth="1"/>
    <col min="11" max="11" width="10.44140625" hidden="1" customWidth="1"/>
    <col min="12" max="12" width="16.33203125" hidden="1" customWidth="1"/>
    <col min="13" max="13" width="15.21875" customWidth="1"/>
    <col min="14" max="14" width="16.44140625" customWidth="1"/>
    <col min="15" max="15" width="13.88671875" bestFit="1" customWidth="1"/>
    <col min="16" max="16" width="45.77734375" bestFit="1" customWidth="1"/>
    <col min="17" max="17" width="13.88671875" bestFit="1" customWidth="1"/>
  </cols>
  <sheetData>
    <row r="2" spans="2:17" ht="17.399999999999999">
      <c r="B2" s="172" t="s">
        <v>0</v>
      </c>
      <c r="C2" s="173"/>
      <c r="D2" s="172" t="s">
        <v>1</v>
      </c>
      <c r="E2" s="174"/>
      <c r="F2" s="174"/>
      <c r="G2" s="174"/>
      <c r="H2" s="174"/>
      <c r="I2" s="173"/>
      <c r="J2" s="1"/>
    </row>
    <row r="3" spans="2:17" ht="15.6">
      <c r="B3" s="69" t="s">
        <v>2</v>
      </c>
      <c r="C3" s="70" t="s">
        <v>102</v>
      </c>
      <c r="D3" s="71" t="s">
        <v>103</v>
      </c>
      <c r="E3" s="72" t="s">
        <v>5</v>
      </c>
      <c r="F3" s="72" t="s">
        <v>6</v>
      </c>
      <c r="G3" s="72" t="s">
        <v>7</v>
      </c>
      <c r="H3" s="72" t="s">
        <v>8</v>
      </c>
      <c r="I3" s="2" t="s">
        <v>9</v>
      </c>
      <c r="J3" s="3" t="s">
        <v>10</v>
      </c>
      <c r="L3" s="175" t="s">
        <v>11</v>
      </c>
      <c r="M3" s="175"/>
      <c r="N3" s="175"/>
    </row>
    <row r="4" spans="2:17" ht="15.6">
      <c r="B4" s="78" t="s">
        <v>12</v>
      </c>
      <c r="C4" s="79"/>
      <c r="D4" s="80"/>
      <c r="E4" s="80"/>
      <c r="F4" s="80"/>
      <c r="G4" s="81">
        <f>E4*1.3</f>
        <v>0</v>
      </c>
      <c r="H4" s="82">
        <f>C4-D4</f>
        <v>0</v>
      </c>
      <c r="I4" s="68" t="e">
        <f>C4/D4</f>
        <v>#DIV/0!</v>
      </c>
      <c r="J4" s="6">
        <f>C4-E4</f>
        <v>0</v>
      </c>
      <c r="L4" s="7" t="s">
        <v>5</v>
      </c>
      <c r="M4" s="8" t="s">
        <v>6</v>
      </c>
      <c r="N4" s="9" t="s">
        <v>13</v>
      </c>
      <c r="O4" s="10" t="s">
        <v>14</v>
      </c>
      <c r="P4" s="10" t="s">
        <v>15</v>
      </c>
      <c r="Q4" s="10" t="s">
        <v>16</v>
      </c>
    </row>
    <row r="5" spans="2:17" ht="15.6">
      <c r="B5" s="78" t="s">
        <v>17</v>
      </c>
      <c r="C5" s="79"/>
      <c r="D5" s="83"/>
      <c r="E5" s="83"/>
      <c r="F5" s="83"/>
      <c r="G5" s="83">
        <f t="shared" ref="G5:G13" si="0">E5*1.3</f>
        <v>0</v>
      </c>
      <c r="H5" s="83">
        <f t="shared" ref="H5:H13" si="1">C5-D5</f>
        <v>0</v>
      </c>
      <c r="I5" s="68" t="e">
        <f t="shared" ref="I5:I14" si="2">C5/D5</f>
        <v>#DIV/0!</v>
      </c>
      <c r="J5" s="6">
        <f t="shared" ref="J5:J11" si="3">C5-E5</f>
        <v>0</v>
      </c>
      <c r="L5" s="4">
        <v>0</v>
      </c>
      <c r="M5" s="5">
        <f>L5*1.12</f>
        <v>0</v>
      </c>
      <c r="N5" s="11">
        <f>L5*1.3</f>
        <v>0</v>
      </c>
      <c r="O5" s="12">
        <v>0.4</v>
      </c>
      <c r="P5" s="13">
        <v>0.35</v>
      </c>
      <c r="Q5" s="14">
        <v>0.25</v>
      </c>
    </row>
    <row r="6" spans="2:17" ht="15.6">
      <c r="B6" s="78" t="s">
        <v>18</v>
      </c>
      <c r="C6" s="79"/>
      <c r="D6" s="80"/>
      <c r="E6" s="80"/>
      <c r="F6" s="80"/>
      <c r="G6" s="81">
        <f t="shared" si="0"/>
        <v>0</v>
      </c>
      <c r="H6" s="82">
        <f t="shared" si="1"/>
        <v>0</v>
      </c>
      <c r="I6" s="68" t="e">
        <f t="shared" si="2"/>
        <v>#DIV/0!</v>
      </c>
      <c r="J6" s="6">
        <f t="shared" si="3"/>
        <v>0</v>
      </c>
      <c r="L6" s="15"/>
      <c r="M6" s="15"/>
      <c r="N6" s="16"/>
      <c r="O6" s="17" t="s">
        <v>19</v>
      </c>
      <c r="P6" s="18" t="s">
        <v>20</v>
      </c>
      <c r="Q6" s="19" t="s">
        <v>21</v>
      </c>
    </row>
    <row r="7" spans="2:17" ht="15.6">
      <c r="B7" s="78" t="s">
        <v>22</v>
      </c>
      <c r="C7" s="79"/>
      <c r="D7" s="80"/>
      <c r="E7" s="80"/>
      <c r="F7" s="80"/>
      <c r="G7" s="81">
        <f t="shared" si="0"/>
        <v>0</v>
      </c>
      <c r="H7" s="82">
        <f t="shared" si="1"/>
        <v>0</v>
      </c>
      <c r="I7" s="68" t="e">
        <f t="shared" si="2"/>
        <v>#DIV/0!</v>
      </c>
      <c r="J7" s="6">
        <f t="shared" si="3"/>
        <v>0</v>
      </c>
      <c r="L7" s="20"/>
      <c r="M7" s="20"/>
      <c r="N7" s="21"/>
      <c r="O7" s="22">
        <v>0</v>
      </c>
      <c r="P7" s="22">
        <v>0</v>
      </c>
      <c r="Q7" s="22">
        <v>0</v>
      </c>
    </row>
    <row r="8" spans="2:17" ht="15.6">
      <c r="B8" s="78" t="s">
        <v>23</v>
      </c>
      <c r="C8" s="79"/>
      <c r="D8" s="80"/>
      <c r="E8" s="80"/>
      <c r="F8" s="80"/>
      <c r="G8" s="81">
        <f t="shared" si="0"/>
        <v>0</v>
      </c>
      <c r="H8" s="82">
        <f t="shared" si="1"/>
        <v>0</v>
      </c>
      <c r="I8" s="68" t="e">
        <f t="shared" si="2"/>
        <v>#DIV/0!</v>
      </c>
      <c r="J8" s="6">
        <f t="shared" si="3"/>
        <v>0</v>
      </c>
      <c r="L8" s="176" t="s">
        <v>24</v>
      </c>
      <c r="M8" s="176"/>
      <c r="N8" s="177"/>
    </row>
    <row r="9" spans="2:17" ht="15.6">
      <c r="B9" s="78" t="s">
        <v>25</v>
      </c>
      <c r="C9" s="79"/>
      <c r="D9" s="80"/>
      <c r="E9" s="80"/>
      <c r="F9" s="80"/>
      <c r="G9" s="81">
        <f t="shared" si="0"/>
        <v>0</v>
      </c>
      <c r="H9" s="82">
        <f t="shared" si="1"/>
        <v>0</v>
      </c>
      <c r="I9" s="68" t="e">
        <f t="shared" si="2"/>
        <v>#DIV/0!</v>
      </c>
      <c r="J9" s="6">
        <f t="shared" si="3"/>
        <v>0</v>
      </c>
      <c r="L9" s="20"/>
      <c r="M9" s="20"/>
      <c r="N9" s="21"/>
    </row>
    <row r="10" spans="2:17" ht="15.6">
      <c r="B10" s="78" t="s">
        <v>26</v>
      </c>
      <c r="C10" s="79"/>
      <c r="D10" s="80"/>
      <c r="E10" s="80"/>
      <c r="F10" s="80"/>
      <c r="G10" s="81">
        <f t="shared" si="0"/>
        <v>0</v>
      </c>
      <c r="H10" s="82">
        <f t="shared" si="1"/>
        <v>0</v>
      </c>
      <c r="I10" s="68" t="e">
        <f t="shared" si="2"/>
        <v>#DIV/0!</v>
      </c>
      <c r="J10" s="6">
        <f t="shared" si="3"/>
        <v>0</v>
      </c>
      <c r="L10" s="163" t="s">
        <v>27</v>
      </c>
      <c r="M10" s="163" t="s">
        <v>28</v>
      </c>
      <c r="N10" s="164" t="s">
        <v>29</v>
      </c>
    </row>
    <row r="11" spans="2:17" ht="15.6">
      <c r="B11" s="78" t="s">
        <v>30</v>
      </c>
      <c r="C11" s="79"/>
      <c r="D11" s="80"/>
      <c r="E11" s="80"/>
      <c r="F11" s="80"/>
      <c r="G11" s="81">
        <f t="shared" si="0"/>
        <v>0</v>
      </c>
      <c r="H11" s="82">
        <f t="shared" si="1"/>
        <v>0</v>
      </c>
      <c r="I11" s="68" t="e">
        <f t="shared" si="2"/>
        <v>#DIV/0!</v>
      </c>
      <c r="J11" s="6">
        <f t="shared" si="3"/>
        <v>0</v>
      </c>
      <c r="L11" s="23">
        <v>8.0000000000000002E-3</v>
      </c>
      <c r="M11" s="24">
        <v>0.01</v>
      </c>
      <c r="N11" s="25">
        <v>1.2E-2</v>
      </c>
    </row>
    <row r="12" spans="2:17" ht="15.6">
      <c r="B12" s="83" t="s">
        <v>31</v>
      </c>
      <c r="C12" s="79"/>
      <c r="D12" s="80"/>
      <c r="E12" s="80"/>
      <c r="F12" s="80"/>
      <c r="G12" s="81">
        <f t="shared" si="0"/>
        <v>0</v>
      </c>
      <c r="H12" s="82">
        <f t="shared" si="1"/>
        <v>0</v>
      </c>
      <c r="I12" s="68"/>
      <c r="J12" s="6"/>
      <c r="L12" s="23"/>
      <c r="M12" s="24"/>
      <c r="N12" s="25"/>
    </row>
    <row r="13" spans="2:17" ht="15.6">
      <c r="B13" s="83" t="s">
        <v>32</v>
      </c>
      <c r="C13" s="79"/>
      <c r="D13" s="80"/>
      <c r="E13" s="80"/>
      <c r="F13" s="80"/>
      <c r="G13" s="81">
        <f t="shared" si="0"/>
        <v>0</v>
      </c>
      <c r="H13" s="82">
        <f t="shared" si="1"/>
        <v>0</v>
      </c>
      <c r="I13" s="68"/>
      <c r="J13" s="6"/>
      <c r="L13" s="23"/>
      <c r="M13" s="24"/>
      <c r="N13" s="25"/>
    </row>
    <row r="14" spans="2:17" ht="20.399999999999999">
      <c r="B14" s="73" t="s">
        <v>33</v>
      </c>
      <c r="C14" s="74">
        <f>SUM(C4:C11)</f>
        <v>0</v>
      </c>
      <c r="D14" s="74">
        <f>SUM(D4:D11)</f>
        <v>0</v>
      </c>
      <c r="E14" s="75">
        <f>SUM(E4:E13)</f>
        <v>0</v>
      </c>
      <c r="F14" s="76">
        <f>SUM(F4:F13)</f>
        <v>0</v>
      </c>
      <c r="G14" s="76">
        <f>SUM(G4:G13)</f>
        <v>0</v>
      </c>
      <c r="H14" s="77">
        <f>C14-D14</f>
        <v>0</v>
      </c>
      <c r="I14" s="26" t="e">
        <f t="shared" si="2"/>
        <v>#DIV/0!</v>
      </c>
      <c r="J14" s="27">
        <f>SUM(J4:J11)</f>
        <v>0</v>
      </c>
      <c r="L14" s="20"/>
      <c r="M14" s="20"/>
      <c r="N14" s="21"/>
      <c r="O14" s="28"/>
      <c r="P14" s="29" t="s">
        <v>34</v>
      </c>
      <c r="Q14" s="30"/>
    </row>
    <row r="15" spans="2:17" ht="20.399999999999999">
      <c r="L15" s="176" t="s">
        <v>35</v>
      </c>
      <c r="M15" s="176"/>
      <c r="N15" s="177"/>
      <c r="O15" s="28"/>
      <c r="P15" s="29" t="s">
        <v>36</v>
      </c>
      <c r="Q15" s="30"/>
    </row>
    <row r="16" spans="2:17" ht="21" thickBot="1">
      <c r="L16" s="20"/>
      <c r="M16" s="20"/>
      <c r="N16" s="21"/>
      <c r="O16" s="28"/>
      <c r="P16" s="29" t="s">
        <v>37</v>
      </c>
      <c r="Q16" s="30"/>
    </row>
    <row r="17" spans="1:17" ht="21" thickBot="1">
      <c r="B17" s="31" t="s">
        <v>38</v>
      </c>
      <c r="C17" s="32">
        <v>2025</v>
      </c>
      <c r="D17" s="32">
        <v>2025</v>
      </c>
      <c r="E17" s="33">
        <f>E14*0.2%</f>
        <v>0</v>
      </c>
      <c r="F17" s="33">
        <f>F14*0.2%</f>
        <v>0</v>
      </c>
      <c r="G17" s="33">
        <f>G14*0.2%</f>
        <v>0</v>
      </c>
      <c r="L17" s="170" t="s">
        <v>39</v>
      </c>
      <c r="M17" s="170"/>
      <c r="N17" s="171"/>
      <c r="O17" s="28"/>
      <c r="P17" s="29" t="s">
        <v>40</v>
      </c>
      <c r="Q17" s="30"/>
    </row>
    <row r="18" spans="1:17" ht="15.6">
      <c r="B18" s="34" t="s">
        <v>41</v>
      </c>
      <c r="C18" s="35">
        <v>26</v>
      </c>
      <c r="D18" s="35">
        <v>26</v>
      </c>
      <c r="F18" t="s">
        <v>42</v>
      </c>
      <c r="L18" s="170" t="s">
        <v>43</v>
      </c>
      <c r="M18" s="170"/>
      <c r="N18" s="171"/>
    </row>
    <row r="19" spans="1:17" ht="15.6">
      <c r="B19" s="34" t="s">
        <v>44</v>
      </c>
      <c r="C19" s="35">
        <v>25</v>
      </c>
      <c r="D19" s="35">
        <v>25</v>
      </c>
    </row>
    <row r="20" spans="1:17" ht="20.399999999999999">
      <c r="B20" s="34" t="s">
        <v>45</v>
      </c>
      <c r="C20" s="35">
        <v>26</v>
      </c>
      <c r="D20" s="35">
        <v>26</v>
      </c>
      <c r="L20" s="36" t="s">
        <v>46</v>
      </c>
      <c r="M20" s="37"/>
      <c r="N20" s="37"/>
    </row>
    <row r="21" spans="1:17" ht="15.6">
      <c r="B21" s="34" t="s">
        <v>47</v>
      </c>
      <c r="C21" s="35">
        <v>25</v>
      </c>
      <c r="D21" s="35">
        <v>25</v>
      </c>
    </row>
    <row r="22" spans="1:17" ht="15.6">
      <c r="B22" s="34" t="s">
        <v>48</v>
      </c>
      <c r="C22" s="35">
        <v>25</v>
      </c>
      <c r="D22" s="35">
        <v>25</v>
      </c>
      <c r="M22" s="49"/>
    </row>
    <row r="23" spans="1:17" ht="15.6">
      <c r="B23" s="34"/>
      <c r="C23" s="35"/>
      <c r="D23" s="35"/>
      <c r="F23" s="38" t="s">
        <v>49</v>
      </c>
      <c r="G23" s="39"/>
      <c r="H23" s="40" t="s">
        <v>101</v>
      </c>
    </row>
    <row r="24" spans="1:17" ht="15.6">
      <c r="B24" s="34"/>
      <c r="C24" s="35"/>
      <c r="D24" s="35"/>
      <c r="F24" s="41" t="s">
        <v>51</v>
      </c>
      <c r="G24" s="42"/>
      <c r="H24" s="43">
        <v>120</v>
      </c>
    </row>
    <row r="25" spans="1:17" ht="16.2" thickBot="1">
      <c r="B25" s="44"/>
      <c r="C25" s="35"/>
      <c r="D25" s="35"/>
      <c r="F25" s="41" t="s">
        <v>52</v>
      </c>
      <c r="G25" s="42"/>
      <c r="H25" s="43">
        <v>3</v>
      </c>
      <c r="M25" s="45"/>
      <c r="N25" s="46" t="s">
        <v>53</v>
      </c>
    </row>
    <row r="26" spans="1:17">
      <c r="F26" s="41" t="s">
        <v>54</v>
      </c>
      <c r="G26" s="42"/>
      <c r="H26" s="43">
        <v>40</v>
      </c>
      <c r="M26" s="47"/>
      <c r="N26" s="46" t="s">
        <v>55</v>
      </c>
    </row>
    <row r="27" spans="1:17">
      <c r="F27" s="41" t="s">
        <v>56</v>
      </c>
      <c r="G27" s="42"/>
      <c r="H27" s="48">
        <v>0.41</v>
      </c>
      <c r="M27" s="49"/>
      <c r="N27" s="46" t="s">
        <v>57</v>
      </c>
    </row>
    <row r="29" spans="1:17">
      <c r="A29" s="50" t="s">
        <v>58</v>
      </c>
      <c r="B29" s="50" t="s">
        <v>59</v>
      </c>
      <c r="C29" s="50" t="s">
        <v>60</v>
      </c>
      <c r="D29" s="50" t="s">
        <v>61</v>
      </c>
      <c r="E29" s="50" t="s">
        <v>62</v>
      </c>
      <c r="F29" s="50" t="s">
        <v>63</v>
      </c>
      <c r="G29" s="50" t="s">
        <v>60</v>
      </c>
      <c r="H29" s="51" t="s">
        <v>64</v>
      </c>
      <c r="I29" s="50" t="s">
        <v>61</v>
      </c>
      <c r="J29" s="51" t="s">
        <v>65</v>
      </c>
      <c r="K29" s="50" t="s">
        <v>62</v>
      </c>
      <c r="L29" s="51" t="s">
        <v>66</v>
      </c>
      <c r="M29" s="50" t="s">
        <v>67</v>
      </c>
      <c r="N29" s="52" t="s">
        <v>68</v>
      </c>
      <c r="O29" s="52" t="s">
        <v>51</v>
      </c>
      <c r="P29" s="52" t="s">
        <v>54</v>
      </c>
      <c r="Q29" s="52" t="s">
        <v>69</v>
      </c>
    </row>
    <row r="30" spans="1:17" ht="15.6">
      <c r="A30" s="53">
        <v>257</v>
      </c>
      <c r="B30" s="54" t="s">
        <v>71</v>
      </c>
      <c r="C30" s="55">
        <v>159125</v>
      </c>
      <c r="D30" s="56">
        <f t="shared" ref="D30:D39" si="4">C30*1.12</f>
        <v>178220.00000000003</v>
      </c>
      <c r="E30" s="57">
        <f t="shared" ref="E30:E39" si="5">C30*1.3</f>
        <v>206862.5</v>
      </c>
      <c r="F30" s="167">
        <v>60289.63</v>
      </c>
      <c r="G30" s="55">
        <f t="shared" ref="G30:G38" si="6">C30-F30</f>
        <v>98835.37</v>
      </c>
      <c r="H30" s="55">
        <f>G30/10</f>
        <v>9883.5370000000003</v>
      </c>
      <c r="I30" s="56">
        <f>D30-F30</f>
        <v>117930.37000000002</v>
      </c>
      <c r="J30" s="56">
        <f>I30/11</f>
        <v>10720.94272727273</v>
      </c>
      <c r="K30" s="57">
        <f>E30-F30</f>
        <v>146572.87</v>
      </c>
      <c r="L30" s="57">
        <f>K30/11</f>
        <v>13324.806363636364</v>
      </c>
      <c r="M30" s="58">
        <f t="shared" ref="M30:M38" si="7">F30/C30</f>
        <v>0.37888219952867241</v>
      </c>
      <c r="N30" s="59"/>
      <c r="O30" s="59"/>
      <c r="P30" s="60"/>
      <c r="Q30" s="59"/>
    </row>
    <row r="31" spans="1:17" ht="15.6">
      <c r="A31" s="53">
        <v>109</v>
      </c>
      <c r="B31" s="54" t="s">
        <v>78</v>
      </c>
      <c r="C31" s="55">
        <v>148065</v>
      </c>
      <c r="D31" s="56">
        <f t="shared" si="4"/>
        <v>165832.80000000002</v>
      </c>
      <c r="E31" s="57">
        <f t="shared" si="5"/>
        <v>192484.5</v>
      </c>
      <c r="F31" s="167">
        <v>49590.36</v>
      </c>
      <c r="G31" s="55">
        <f t="shared" si="6"/>
        <v>98474.64</v>
      </c>
      <c r="H31" s="55">
        <f>G31/11</f>
        <v>8952.24</v>
      </c>
      <c r="I31" s="56">
        <f>D31-F31</f>
        <v>116242.44000000002</v>
      </c>
      <c r="J31" s="56">
        <f>I31/11</f>
        <v>10567.494545454547</v>
      </c>
      <c r="K31" s="57">
        <f>E31-F31</f>
        <v>142894.14000000001</v>
      </c>
      <c r="L31" s="57">
        <f>K31/11</f>
        <v>12990.376363636366</v>
      </c>
      <c r="M31" s="58">
        <f t="shared" si="7"/>
        <v>0.33492290548070103</v>
      </c>
      <c r="N31" s="59"/>
      <c r="O31" s="59"/>
      <c r="P31" s="60"/>
      <c r="Q31" s="59"/>
    </row>
    <row r="32" spans="1:17" ht="15.6">
      <c r="A32" s="53">
        <v>997</v>
      </c>
      <c r="B32" s="54" t="s">
        <v>82</v>
      </c>
      <c r="C32" s="55">
        <v>187000</v>
      </c>
      <c r="D32" s="56">
        <f t="shared" si="4"/>
        <v>209440.00000000003</v>
      </c>
      <c r="E32" s="57">
        <f t="shared" si="5"/>
        <v>243100</v>
      </c>
      <c r="F32" s="168">
        <v>61974.64</v>
      </c>
      <c r="G32" s="55">
        <f t="shared" si="6"/>
        <v>125025.36</v>
      </c>
      <c r="H32" s="55">
        <f>G32/10</f>
        <v>12502.536</v>
      </c>
      <c r="I32" s="56">
        <f>D32-F32</f>
        <v>147465.36000000004</v>
      </c>
      <c r="J32" s="56"/>
      <c r="K32" s="57">
        <f>E32-F32</f>
        <v>181125.36</v>
      </c>
      <c r="L32" s="57"/>
      <c r="M32" s="58">
        <f t="shared" si="7"/>
        <v>0.33141518716577539</v>
      </c>
      <c r="N32" s="59"/>
      <c r="O32" s="59"/>
      <c r="P32" s="60"/>
      <c r="Q32" s="59"/>
    </row>
    <row r="33" spans="1:17" ht="15.6">
      <c r="A33" s="53">
        <v>117</v>
      </c>
      <c r="B33" s="54" t="s">
        <v>80</v>
      </c>
      <c r="C33" s="55">
        <v>124273</v>
      </c>
      <c r="D33" s="56">
        <f t="shared" si="4"/>
        <v>139185.76</v>
      </c>
      <c r="E33" s="57">
        <f t="shared" si="5"/>
        <v>161554.9</v>
      </c>
      <c r="F33" s="167">
        <v>40951.269999999997</v>
      </c>
      <c r="G33" s="55">
        <f t="shared" si="6"/>
        <v>83321.73000000001</v>
      </c>
      <c r="H33" s="55">
        <f>G33/11</f>
        <v>7574.7027272727282</v>
      </c>
      <c r="I33" s="56">
        <f>D33-F33</f>
        <v>98234.49000000002</v>
      </c>
      <c r="J33" s="56">
        <f>I33/11</f>
        <v>8930.4081818181839</v>
      </c>
      <c r="K33" s="57">
        <f>E33-F33</f>
        <v>120603.63</v>
      </c>
      <c r="L33" s="57">
        <f>K33/11</f>
        <v>10963.966363636364</v>
      </c>
      <c r="M33" s="58">
        <f t="shared" si="7"/>
        <v>0.32952668721282979</v>
      </c>
      <c r="N33" s="59"/>
      <c r="O33" s="59"/>
      <c r="P33" s="60"/>
      <c r="Q33" s="59"/>
    </row>
    <row r="34" spans="1:17" ht="15.6">
      <c r="A34" s="53">
        <v>1017</v>
      </c>
      <c r="B34" s="54" t="s">
        <v>74</v>
      </c>
      <c r="C34" s="55">
        <v>200249</v>
      </c>
      <c r="D34" s="56">
        <f t="shared" si="4"/>
        <v>224278.88000000003</v>
      </c>
      <c r="E34" s="57">
        <f t="shared" si="5"/>
        <v>260323.7</v>
      </c>
      <c r="F34" s="167">
        <v>63556.35</v>
      </c>
      <c r="G34" s="55">
        <f t="shared" si="6"/>
        <v>136692.65</v>
      </c>
      <c r="H34" s="55">
        <f>G34/9</f>
        <v>15188.072222222221</v>
      </c>
      <c r="I34" s="56"/>
      <c r="J34" s="56"/>
      <c r="K34" s="57"/>
      <c r="L34" s="57"/>
      <c r="M34" s="58">
        <f t="shared" si="7"/>
        <v>0.31738660367842036</v>
      </c>
      <c r="N34" s="59"/>
      <c r="O34" s="59"/>
      <c r="P34" s="60"/>
      <c r="Q34" s="59"/>
    </row>
    <row r="35" spans="1:17" ht="15.6">
      <c r="A35" s="53">
        <v>236</v>
      </c>
      <c r="B35" s="54" t="s">
        <v>85</v>
      </c>
      <c r="C35" s="55">
        <v>138393</v>
      </c>
      <c r="D35" s="56">
        <f t="shared" si="4"/>
        <v>155000.16</v>
      </c>
      <c r="E35" s="57">
        <f t="shared" si="5"/>
        <v>179910.9</v>
      </c>
      <c r="F35" s="167">
        <v>40599.199999999997</v>
      </c>
      <c r="G35" s="55">
        <f t="shared" si="6"/>
        <v>97793.8</v>
      </c>
      <c r="H35" s="55">
        <f>G35/9</f>
        <v>10865.977777777778</v>
      </c>
      <c r="I35" s="56">
        <f>D35-F35</f>
        <v>114400.96000000001</v>
      </c>
      <c r="J35" s="56">
        <f>I35/9</f>
        <v>12711.217777777778</v>
      </c>
      <c r="K35" s="57">
        <f>E35-F35</f>
        <v>139311.70000000001</v>
      </c>
      <c r="L35" s="57">
        <f>K35/9</f>
        <v>15479.077777777778</v>
      </c>
      <c r="M35" s="58">
        <f t="shared" si="7"/>
        <v>0.29336165846538481</v>
      </c>
      <c r="N35" s="59"/>
      <c r="O35" s="59"/>
      <c r="P35" s="60"/>
      <c r="Q35" s="59"/>
    </row>
    <row r="36" spans="1:17" ht="15.6">
      <c r="A36" s="53">
        <v>363</v>
      </c>
      <c r="B36" s="54" t="s">
        <v>87</v>
      </c>
      <c r="C36" s="55">
        <v>187000</v>
      </c>
      <c r="D36" s="56">
        <f t="shared" si="4"/>
        <v>209440.00000000003</v>
      </c>
      <c r="E36" s="57">
        <f t="shared" si="5"/>
        <v>243100</v>
      </c>
      <c r="F36" s="167">
        <v>54703.58</v>
      </c>
      <c r="G36" s="55">
        <f t="shared" si="6"/>
        <v>132296.41999999998</v>
      </c>
      <c r="H36" s="55">
        <f>G36/9</f>
        <v>14699.60222222222</v>
      </c>
      <c r="I36" s="56">
        <f>D36-F36</f>
        <v>154736.42000000004</v>
      </c>
      <c r="J36" s="56">
        <f>I36/9</f>
        <v>17192.935555555559</v>
      </c>
      <c r="K36" s="57">
        <f>E36-F36</f>
        <v>188396.41999999998</v>
      </c>
      <c r="L36" s="57">
        <f>K36/9</f>
        <v>20932.935555555552</v>
      </c>
      <c r="M36" s="58">
        <f t="shared" si="7"/>
        <v>0.29253251336898395</v>
      </c>
      <c r="N36" s="59"/>
      <c r="O36" s="59"/>
      <c r="P36" s="60"/>
      <c r="Q36" s="59"/>
    </row>
    <row r="37" spans="1:17" ht="15.6">
      <c r="A37" s="53">
        <v>165</v>
      </c>
      <c r="B37" s="54" t="s">
        <v>84</v>
      </c>
      <c r="C37" s="55">
        <v>188982</v>
      </c>
      <c r="D37" s="56">
        <f t="shared" si="4"/>
        <v>211659.84000000003</v>
      </c>
      <c r="E37" s="57">
        <f t="shared" si="5"/>
        <v>245676.6</v>
      </c>
      <c r="F37" s="169">
        <v>50572.09</v>
      </c>
      <c r="G37" s="55">
        <f t="shared" si="6"/>
        <v>138409.91</v>
      </c>
      <c r="H37" s="55">
        <f>G37/10</f>
        <v>13840.991</v>
      </c>
      <c r="I37" s="56">
        <f>D37-F37</f>
        <v>161087.75000000003</v>
      </c>
      <c r="J37" s="56">
        <f>I37/10</f>
        <v>16108.775000000003</v>
      </c>
      <c r="K37" s="57">
        <f>E37-F37</f>
        <v>195104.51</v>
      </c>
      <c r="L37" s="57">
        <f>K37/10</f>
        <v>19510.451000000001</v>
      </c>
      <c r="M37" s="58">
        <f t="shared" si="7"/>
        <v>0.26760268173688495</v>
      </c>
      <c r="N37" s="59"/>
      <c r="O37" s="60"/>
      <c r="P37" s="60"/>
      <c r="Q37" s="59"/>
    </row>
    <row r="38" spans="1:17" ht="15.6">
      <c r="A38" s="53">
        <v>157</v>
      </c>
      <c r="B38" s="54" t="s">
        <v>76</v>
      </c>
      <c r="C38" s="55">
        <v>203601</v>
      </c>
      <c r="D38" s="56">
        <f t="shared" si="4"/>
        <v>228033.12000000002</v>
      </c>
      <c r="E38" s="57">
        <f t="shared" si="5"/>
        <v>264681.3</v>
      </c>
      <c r="F38" s="167">
        <v>49735.42</v>
      </c>
      <c r="G38" s="55">
        <f t="shared" si="6"/>
        <v>153865.58000000002</v>
      </c>
      <c r="H38" s="55">
        <f>G38/10</f>
        <v>15386.558000000001</v>
      </c>
      <c r="I38" s="56">
        <f>D38-F38</f>
        <v>178297.7</v>
      </c>
      <c r="J38" s="56">
        <f>I38/10</f>
        <v>17829.77</v>
      </c>
      <c r="K38" s="57">
        <f>E38-F38</f>
        <v>214945.88</v>
      </c>
      <c r="L38" s="57">
        <f>K38/10</f>
        <v>21494.588</v>
      </c>
      <c r="M38" s="58">
        <f t="shared" si="7"/>
        <v>0.24427885914116335</v>
      </c>
      <c r="N38" s="59"/>
      <c r="O38" s="59"/>
      <c r="P38" s="60"/>
      <c r="Q38" s="59"/>
    </row>
    <row r="39" spans="1:17">
      <c r="A39" s="53"/>
      <c r="B39" s="54" t="s">
        <v>89</v>
      </c>
      <c r="C39" s="55"/>
      <c r="D39" s="56">
        <f t="shared" si="4"/>
        <v>0</v>
      </c>
      <c r="E39" s="57">
        <f t="shared" si="5"/>
        <v>0</v>
      </c>
      <c r="F39" s="55"/>
      <c r="G39" s="56" t="e">
        <f>D39-#REF!</f>
        <v>#REF!</v>
      </c>
      <c r="H39" s="56" t="e">
        <f>G39/11</f>
        <v>#REF!</v>
      </c>
      <c r="I39" s="57" t="e">
        <f>E39-#REF!</f>
        <v>#REF!</v>
      </c>
      <c r="J39" s="57" t="e">
        <f>I39/11</f>
        <v>#REF!</v>
      </c>
      <c r="K39" s="58" t="e">
        <f>#REF!/C39</f>
        <v>#REF!</v>
      </c>
      <c r="L39" s="59"/>
      <c r="M39" s="60"/>
      <c r="N39" s="60"/>
      <c r="O39" s="59"/>
    </row>
    <row r="40" spans="1:17" ht="22.8">
      <c r="B40" s="61"/>
      <c r="C40" s="62">
        <f>SUM(C30:C39)</f>
        <v>1536688</v>
      </c>
      <c r="D40" s="62">
        <f>SUM(D30:D39)</f>
        <v>1721090.5600000003</v>
      </c>
      <c r="E40" s="62">
        <f>SUM(E30:E39)</f>
        <v>1997694.4000000001</v>
      </c>
    </row>
    <row r="41" spans="1:17" ht="22.8">
      <c r="B41" s="61"/>
      <c r="C41" s="61"/>
      <c r="D41" s="61"/>
      <c r="E41" s="61"/>
      <c r="F41" s="63">
        <f>SUM(F30:F39)</f>
        <v>471972.54</v>
      </c>
      <c r="G41" s="55">
        <f>C40-F41</f>
        <v>1064715.46</v>
      </c>
      <c r="H41" s="55">
        <f>G41/8</f>
        <v>133089.4325</v>
      </c>
      <c r="I41" s="56">
        <f>D40-F41</f>
        <v>1249118.0200000003</v>
      </c>
      <c r="J41" s="56">
        <f>I41/8</f>
        <v>156139.75250000003</v>
      </c>
      <c r="K41" s="57">
        <f>E40-F41</f>
        <v>1525721.86</v>
      </c>
      <c r="L41" s="57">
        <f>K41/8</f>
        <v>190715.23250000001</v>
      </c>
      <c r="N41" s="61"/>
      <c r="O41" s="64"/>
      <c r="P41" s="64"/>
      <c r="Q41" s="64"/>
    </row>
    <row r="42" spans="1:17" ht="22.8">
      <c r="B42" s="65"/>
      <c r="C42" s="66">
        <f>C40*0.2%</f>
        <v>3073.3760000000002</v>
      </c>
      <c r="D42" s="61"/>
      <c r="E42" s="61"/>
      <c r="G42" s="61"/>
      <c r="H42" s="61"/>
      <c r="I42" s="61"/>
      <c r="J42" s="61"/>
      <c r="L42" s="58">
        <f>F41/C40</f>
        <v>0.3071362176316858</v>
      </c>
      <c r="M42" s="61"/>
      <c r="N42" s="61"/>
      <c r="O42" s="64"/>
      <c r="P42" s="64"/>
      <c r="Q42" s="64"/>
    </row>
    <row r="46" spans="1:17">
      <c r="B46" s="84"/>
      <c r="C46" s="84"/>
      <c r="D46" s="84"/>
      <c r="E46" s="84"/>
    </row>
  </sheetData>
  <autoFilter ref="A29:Q42" xr:uid="{616FB311-8ECB-4792-9C17-C12DB02B4931}">
    <sortState xmlns:xlrd2="http://schemas.microsoft.com/office/spreadsheetml/2017/richdata2" ref="A30:Q42">
      <sortCondition descending="1" ref="M29:M42"/>
    </sortState>
  </autoFilter>
  <mergeCells count="7">
    <mergeCell ref="L18:N18"/>
    <mergeCell ref="B2:C2"/>
    <mergeCell ref="D2:I2"/>
    <mergeCell ref="L3:N3"/>
    <mergeCell ref="L8:N8"/>
    <mergeCell ref="L15:N15"/>
    <mergeCell ref="L17:N17"/>
  </mergeCells>
  <conditionalFormatting sqref="D4 D6:D13">
    <cfRule type="cellIs" dxfId="15" priority="3" operator="lessThan">
      <formula>$E4</formula>
    </cfRule>
    <cfRule type="cellIs" dxfId="14" priority="4" operator="greaterThan">
      <formula>$G4</formula>
    </cfRule>
    <cfRule type="cellIs" dxfId="13" priority="5" operator="greaterThan">
      <formula>$F4</formula>
    </cfRule>
    <cfRule type="cellIs" dxfId="12" priority="6" operator="greaterThan">
      <formula>$E4</formula>
    </cfRule>
  </conditionalFormatting>
  <conditionalFormatting sqref="H4 H6:H14">
    <cfRule type="cellIs" dxfId="11" priority="7" operator="greaterThan">
      <formula>0</formula>
    </cfRule>
    <cfRule type="cellIs" dxfId="10" priority="8" operator="lessThan">
      <formula>0</formula>
    </cfRule>
  </conditionalFormatting>
  <conditionalFormatting sqref="I4:I14">
    <cfRule type="cellIs" dxfId="9" priority="9" operator="lessThan">
      <formula>1</formula>
    </cfRule>
    <cfRule type="cellIs" dxfId="8" priority="10" operator="greaterThan">
      <formula>1</formula>
    </cfRule>
  </conditionalFormatting>
  <conditionalFormatting sqref="M30:M37 L42 K38:K39">
    <cfRule type="colorScale" priority="11">
      <colorScale>
        <cfvo type="min"/>
        <cfvo type="max"/>
        <color rgb="FFFFEF9C"/>
        <color rgb="FF63BE7B"/>
      </colorScale>
    </cfRule>
  </conditionalFormatting>
  <conditionalFormatting sqref="M30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00B050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E016-AD35-441E-9FCD-CA93177A83A3}">
  <dimension ref="A1"/>
  <sheetViews>
    <sheetView workbookViewId="0">
      <selection activeCell="J26" sqref="J26"/>
    </sheetView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18B8-D409-4D2B-9C0C-1311C9E8EE96}">
  <dimension ref="A2:AB47"/>
  <sheetViews>
    <sheetView tabSelected="1" zoomScale="68" zoomScaleNormal="68" workbookViewId="0">
      <selection activeCell="J20" sqref="J20"/>
    </sheetView>
  </sheetViews>
  <sheetFormatPr defaultRowHeight="14.4"/>
  <cols>
    <col min="1" max="1" width="10.109375" bestFit="1" customWidth="1"/>
    <col min="2" max="2" width="23.33203125" bestFit="1" customWidth="1"/>
    <col min="3" max="3" width="29" bestFit="1" customWidth="1"/>
    <col min="4" max="4" width="18.77734375" bestFit="1" customWidth="1"/>
    <col min="5" max="7" width="17.6640625" bestFit="1" customWidth="1"/>
    <col min="8" max="8" width="15.88671875" bestFit="1" customWidth="1"/>
    <col min="9" max="9" width="14.21875" bestFit="1" customWidth="1"/>
    <col min="10" max="10" width="13.5546875" bestFit="1" customWidth="1"/>
    <col min="11" max="11" width="10.21875" customWidth="1"/>
    <col min="12" max="12" width="42.109375" bestFit="1" customWidth="1"/>
    <col min="13" max="13" width="9.6640625" bestFit="1" customWidth="1"/>
    <col min="15" max="15" width="13.6640625" bestFit="1" customWidth="1"/>
    <col min="16" max="16" width="44.21875" bestFit="1" customWidth="1"/>
    <col min="17" max="17" width="13.6640625" bestFit="1" customWidth="1"/>
    <col min="18" max="18" width="9" customWidth="1"/>
  </cols>
  <sheetData>
    <row r="2" spans="2:17" ht="17.399999999999999">
      <c r="B2" s="172" t="s">
        <v>104</v>
      </c>
      <c r="C2" s="173"/>
      <c r="D2" s="172" t="s">
        <v>1</v>
      </c>
      <c r="E2" s="174"/>
      <c r="F2" s="174"/>
      <c r="G2" s="174"/>
      <c r="H2" s="174"/>
      <c r="I2" s="173"/>
      <c r="J2" s="1"/>
    </row>
    <row r="3" spans="2:17" ht="15.6">
      <c r="B3" s="69" t="s">
        <v>2</v>
      </c>
      <c r="C3" s="70" t="s">
        <v>105</v>
      </c>
      <c r="D3" s="71" t="s">
        <v>106</v>
      </c>
      <c r="E3" s="72" t="s">
        <v>5</v>
      </c>
      <c r="F3" s="72" t="s">
        <v>6</v>
      </c>
      <c r="G3" s="72" t="s">
        <v>7</v>
      </c>
      <c r="H3" s="72" t="s">
        <v>8</v>
      </c>
      <c r="I3" s="2" t="s">
        <v>9</v>
      </c>
      <c r="J3" s="3" t="s">
        <v>10</v>
      </c>
      <c r="L3" s="175" t="s">
        <v>11</v>
      </c>
      <c r="M3" s="175"/>
      <c r="N3" s="175"/>
    </row>
    <row r="4" spans="2:17" ht="15.6">
      <c r="B4" s="78" t="s">
        <v>12</v>
      </c>
      <c r="C4" s="79"/>
      <c r="D4" s="80"/>
      <c r="E4" s="80"/>
      <c r="F4" s="80"/>
      <c r="G4" s="81">
        <f>E4*1.3</f>
        <v>0</v>
      </c>
      <c r="H4" s="82">
        <f>C4-D4</f>
        <v>0</v>
      </c>
      <c r="I4" s="68" t="e">
        <f>C4/D4</f>
        <v>#DIV/0!</v>
      </c>
      <c r="J4" s="6">
        <f>C4-E4</f>
        <v>0</v>
      </c>
      <c r="L4" s="7" t="s">
        <v>5</v>
      </c>
      <c r="M4" s="8" t="s">
        <v>6</v>
      </c>
      <c r="N4" s="9" t="s">
        <v>13</v>
      </c>
      <c r="O4" s="10" t="s">
        <v>14</v>
      </c>
      <c r="P4" s="10" t="s">
        <v>15</v>
      </c>
      <c r="Q4" s="10" t="s">
        <v>16</v>
      </c>
    </row>
    <row r="5" spans="2:17" ht="15.6">
      <c r="B5" s="78" t="s">
        <v>17</v>
      </c>
      <c r="C5" s="79"/>
      <c r="D5" s="83">
        <v>0</v>
      </c>
      <c r="E5" s="83">
        <v>0</v>
      </c>
      <c r="F5" s="83">
        <f t="shared" ref="F5" si="0">E5*1.12</f>
        <v>0</v>
      </c>
      <c r="G5" s="83">
        <f t="shared" ref="G5:G13" si="1">E5*1.3</f>
        <v>0</v>
      </c>
      <c r="H5" s="83">
        <f t="shared" ref="H5:H13" si="2">C5-D5</f>
        <v>0</v>
      </c>
      <c r="I5" s="68" t="e">
        <f t="shared" ref="I5:I14" si="3">C5/D5</f>
        <v>#DIV/0!</v>
      </c>
      <c r="J5" s="6">
        <f t="shared" ref="J5:J11" si="4">C5-E5</f>
        <v>0</v>
      </c>
      <c r="L5" s="4">
        <v>0</v>
      </c>
      <c r="M5" s="5">
        <f>L5*1.12</f>
        <v>0</v>
      </c>
      <c r="N5" s="11">
        <f>L5*1.3</f>
        <v>0</v>
      </c>
      <c r="O5" s="12">
        <v>0.4</v>
      </c>
      <c r="P5" s="13">
        <v>0.35</v>
      </c>
      <c r="Q5" s="14">
        <v>0.25</v>
      </c>
    </row>
    <row r="6" spans="2:17" ht="15.6">
      <c r="B6" s="78" t="s">
        <v>18</v>
      </c>
      <c r="C6" s="79"/>
      <c r="D6" s="80"/>
      <c r="E6" s="80"/>
      <c r="F6" s="80"/>
      <c r="G6" s="81">
        <f t="shared" si="1"/>
        <v>0</v>
      </c>
      <c r="H6" s="82">
        <f t="shared" si="2"/>
        <v>0</v>
      </c>
      <c r="I6" s="68" t="e">
        <f t="shared" si="3"/>
        <v>#DIV/0!</v>
      </c>
      <c r="J6" s="6">
        <f t="shared" si="4"/>
        <v>0</v>
      </c>
      <c r="L6" s="15"/>
      <c r="M6" s="15"/>
      <c r="N6" s="16"/>
      <c r="O6" s="17" t="s">
        <v>19</v>
      </c>
      <c r="P6" s="18" t="s">
        <v>20</v>
      </c>
      <c r="Q6" s="19" t="s">
        <v>21</v>
      </c>
    </row>
    <row r="7" spans="2:17" ht="15.6">
      <c r="B7" s="78" t="s">
        <v>22</v>
      </c>
      <c r="C7" s="79"/>
      <c r="D7" s="80"/>
      <c r="E7" s="80"/>
      <c r="F7" s="80"/>
      <c r="G7" s="81">
        <f t="shared" si="1"/>
        <v>0</v>
      </c>
      <c r="H7" s="82">
        <f t="shared" si="2"/>
        <v>0</v>
      </c>
      <c r="I7" s="68" t="e">
        <f t="shared" si="3"/>
        <v>#DIV/0!</v>
      </c>
      <c r="J7" s="6">
        <f t="shared" si="4"/>
        <v>0</v>
      </c>
      <c r="L7" s="20"/>
      <c r="M7" s="20"/>
      <c r="N7" s="21"/>
      <c r="O7" s="22">
        <v>0</v>
      </c>
      <c r="P7" s="22">
        <v>0</v>
      </c>
      <c r="Q7" s="22">
        <v>0</v>
      </c>
    </row>
    <row r="8" spans="2:17" ht="15.6">
      <c r="B8" s="78" t="s">
        <v>23</v>
      </c>
      <c r="C8" s="79"/>
      <c r="D8" s="80"/>
      <c r="E8" s="80"/>
      <c r="F8" s="80"/>
      <c r="G8" s="81">
        <f t="shared" si="1"/>
        <v>0</v>
      </c>
      <c r="H8" s="82">
        <f t="shared" si="2"/>
        <v>0</v>
      </c>
      <c r="I8" s="68" t="e">
        <f t="shared" si="3"/>
        <v>#DIV/0!</v>
      </c>
      <c r="J8" s="6">
        <f t="shared" si="4"/>
        <v>0</v>
      </c>
      <c r="L8" s="176" t="s">
        <v>24</v>
      </c>
      <c r="M8" s="176"/>
      <c r="N8" s="177"/>
    </row>
    <row r="9" spans="2:17" ht="15.6">
      <c r="B9" s="78" t="s">
        <v>25</v>
      </c>
      <c r="C9" s="79"/>
      <c r="D9" s="80"/>
      <c r="E9" s="80"/>
      <c r="F9" s="80"/>
      <c r="G9" s="81">
        <f t="shared" si="1"/>
        <v>0</v>
      </c>
      <c r="H9" s="82">
        <f t="shared" si="2"/>
        <v>0</v>
      </c>
      <c r="I9" s="68" t="e">
        <f t="shared" si="3"/>
        <v>#DIV/0!</v>
      </c>
      <c r="J9" s="6">
        <f t="shared" si="4"/>
        <v>0</v>
      </c>
      <c r="L9" s="20"/>
      <c r="M9" s="20"/>
      <c r="N9" s="21"/>
    </row>
    <row r="10" spans="2:17" ht="15.6">
      <c r="B10" s="78" t="s">
        <v>26</v>
      </c>
      <c r="C10" s="79"/>
      <c r="D10" s="80"/>
      <c r="E10" s="80"/>
      <c r="F10" s="80"/>
      <c r="G10" s="81">
        <f t="shared" si="1"/>
        <v>0</v>
      </c>
      <c r="H10" s="82">
        <f t="shared" si="2"/>
        <v>0</v>
      </c>
      <c r="I10" s="68" t="e">
        <f t="shared" si="3"/>
        <v>#DIV/0!</v>
      </c>
      <c r="J10" s="6">
        <f t="shared" si="4"/>
        <v>0</v>
      </c>
      <c r="L10" s="163" t="s">
        <v>27</v>
      </c>
      <c r="M10" s="163" t="s">
        <v>28</v>
      </c>
      <c r="N10" s="164" t="s">
        <v>29</v>
      </c>
    </row>
    <row r="11" spans="2:17" ht="15.6">
      <c r="B11" s="78" t="s">
        <v>30</v>
      </c>
      <c r="C11" s="79"/>
      <c r="D11" s="80"/>
      <c r="E11" s="80"/>
      <c r="F11" s="80"/>
      <c r="G11" s="81">
        <f t="shared" si="1"/>
        <v>0</v>
      </c>
      <c r="H11" s="82">
        <f t="shared" si="2"/>
        <v>0</v>
      </c>
      <c r="I11" s="68" t="e">
        <f t="shared" si="3"/>
        <v>#DIV/0!</v>
      </c>
      <c r="J11" s="6">
        <f t="shared" si="4"/>
        <v>0</v>
      </c>
      <c r="L11" s="23">
        <v>8.0000000000000002E-3</v>
      </c>
      <c r="M11" s="24">
        <v>0.01</v>
      </c>
      <c r="N11" s="25">
        <v>1.2E-2</v>
      </c>
    </row>
    <row r="12" spans="2:17" ht="15.6">
      <c r="B12" s="83" t="s">
        <v>31</v>
      </c>
      <c r="C12" s="79"/>
      <c r="D12" s="80"/>
      <c r="E12" s="80"/>
      <c r="F12" s="80"/>
      <c r="G12" s="81">
        <f t="shared" si="1"/>
        <v>0</v>
      </c>
      <c r="H12" s="82">
        <f t="shared" si="2"/>
        <v>0</v>
      </c>
      <c r="I12" s="68"/>
      <c r="J12" s="6"/>
      <c r="L12" s="23"/>
      <c r="M12" s="24"/>
      <c r="N12" s="25"/>
    </row>
    <row r="13" spans="2:17" ht="15.6">
      <c r="B13" s="83" t="s">
        <v>32</v>
      </c>
      <c r="C13" s="79"/>
      <c r="D13" s="80"/>
      <c r="E13" s="80"/>
      <c r="F13" s="80"/>
      <c r="G13" s="81">
        <f t="shared" si="1"/>
        <v>0</v>
      </c>
      <c r="H13" s="82">
        <f t="shared" si="2"/>
        <v>0</v>
      </c>
      <c r="I13" s="68"/>
      <c r="J13" s="6"/>
      <c r="L13" s="23"/>
      <c r="M13" s="24"/>
      <c r="N13" s="25"/>
    </row>
    <row r="14" spans="2:17" ht="20.399999999999999">
      <c r="B14" s="73" t="s">
        <v>33</v>
      </c>
      <c r="C14" s="74">
        <f>SUM(C4:C11)</f>
        <v>0</v>
      </c>
      <c r="D14" s="74">
        <f>SUM(D4:D11)</f>
        <v>0</v>
      </c>
      <c r="E14" s="75">
        <f>SUM(E4:E13)</f>
        <v>0</v>
      </c>
      <c r="F14" s="76">
        <f>SUM(F4:F13)</f>
        <v>0</v>
      </c>
      <c r="G14" s="76">
        <f>SUM(G4:G13)</f>
        <v>0</v>
      </c>
      <c r="H14" s="77">
        <f>C14-D14</f>
        <v>0</v>
      </c>
      <c r="I14" s="26" t="e">
        <f t="shared" si="3"/>
        <v>#DIV/0!</v>
      </c>
      <c r="J14" s="27">
        <f>SUM(J4:J11)</f>
        <v>0</v>
      </c>
      <c r="L14" s="20"/>
      <c r="M14" s="20"/>
      <c r="N14" s="21"/>
      <c r="O14" s="28"/>
      <c r="P14" s="29" t="s">
        <v>34</v>
      </c>
      <c r="Q14" s="30"/>
    </row>
    <row r="15" spans="2:17" ht="20.399999999999999">
      <c r="L15" s="176" t="s">
        <v>35</v>
      </c>
      <c r="M15" s="176"/>
      <c r="N15" s="177"/>
      <c r="O15" s="28"/>
      <c r="P15" s="29" t="s">
        <v>36</v>
      </c>
      <c r="Q15" s="30"/>
    </row>
    <row r="16" spans="2:17" ht="21" thickBot="1">
      <c r="L16" s="20"/>
      <c r="M16" s="20"/>
      <c r="N16" s="21"/>
      <c r="O16" s="28"/>
      <c r="P16" s="29" t="s">
        <v>37</v>
      </c>
      <c r="Q16" s="30"/>
    </row>
    <row r="17" spans="1:28" ht="21" thickBot="1">
      <c r="B17" s="31" t="s">
        <v>38</v>
      </c>
      <c r="C17" s="32">
        <v>2025</v>
      </c>
      <c r="D17" s="32">
        <v>2026</v>
      </c>
      <c r="E17" s="33">
        <f>E14*0.2%</f>
        <v>0</v>
      </c>
      <c r="F17" s="33">
        <f>F14*0.2%</f>
        <v>0</v>
      </c>
      <c r="G17" s="33">
        <f>G14*0.2%</f>
        <v>0</v>
      </c>
      <c r="L17" s="170" t="s">
        <v>39</v>
      </c>
      <c r="M17" s="170"/>
      <c r="N17" s="171"/>
      <c r="O17" s="28"/>
      <c r="P17" s="29" t="s">
        <v>40</v>
      </c>
      <c r="Q17" s="30"/>
    </row>
    <row r="18" spans="1:28" ht="15.6">
      <c r="B18" s="34" t="s">
        <v>41</v>
      </c>
      <c r="C18" s="35"/>
      <c r="D18" s="35"/>
      <c r="F18" t="s">
        <v>42</v>
      </c>
      <c r="L18" s="170" t="s">
        <v>43</v>
      </c>
      <c r="M18" s="170"/>
      <c r="N18" s="171"/>
    </row>
    <row r="19" spans="1:28" ht="15.6">
      <c r="B19" s="34" t="s">
        <v>44</v>
      </c>
      <c r="C19" s="35"/>
      <c r="D19" s="35"/>
    </row>
    <row r="20" spans="1:28" ht="20.399999999999999">
      <c r="B20" s="34" t="s">
        <v>45</v>
      </c>
      <c r="C20" s="35"/>
      <c r="D20" s="35"/>
      <c r="L20" s="36" t="s">
        <v>46</v>
      </c>
      <c r="M20" s="37"/>
      <c r="N20" s="37"/>
    </row>
    <row r="21" spans="1:28" ht="15.6">
      <c r="B21" s="34" t="s">
        <v>47</v>
      </c>
      <c r="C21" s="35"/>
      <c r="D21" s="35"/>
    </row>
    <row r="22" spans="1:28" ht="15.6">
      <c r="B22" s="34" t="s">
        <v>48</v>
      </c>
      <c r="C22" s="35"/>
      <c r="D22" s="35"/>
      <c r="M22" s="49"/>
    </row>
    <row r="23" spans="1:28" ht="15.6">
      <c r="B23" s="34"/>
      <c r="C23" s="35"/>
      <c r="D23" s="35"/>
      <c r="F23" s="38" t="s">
        <v>49</v>
      </c>
      <c r="G23" s="39"/>
      <c r="H23" s="40" t="s">
        <v>50</v>
      </c>
    </row>
    <row r="24" spans="1:28" ht="15.6">
      <c r="B24" s="34"/>
      <c r="C24" s="35"/>
      <c r="D24" s="35"/>
      <c r="F24" s="41" t="s">
        <v>51</v>
      </c>
      <c r="G24" s="42"/>
      <c r="H24" s="43">
        <v>120</v>
      </c>
    </row>
    <row r="25" spans="1:28" ht="16.2" thickBot="1">
      <c r="B25" s="44"/>
      <c r="C25" s="35"/>
      <c r="D25" s="35"/>
      <c r="F25" s="41" t="s">
        <v>52</v>
      </c>
      <c r="G25" s="42"/>
      <c r="H25" s="43">
        <v>3</v>
      </c>
      <c r="M25" s="45"/>
      <c r="N25" s="46" t="s">
        <v>53</v>
      </c>
    </row>
    <row r="26" spans="1:28">
      <c r="F26" s="41" t="s">
        <v>54</v>
      </c>
      <c r="G26" s="42"/>
      <c r="H26" s="43">
        <v>40</v>
      </c>
      <c r="M26" s="47"/>
      <c r="N26" s="46" t="s">
        <v>55</v>
      </c>
    </row>
    <row r="27" spans="1:28">
      <c r="F27" s="41" t="s">
        <v>56</v>
      </c>
      <c r="G27" s="42"/>
      <c r="H27" s="48">
        <v>0.41</v>
      </c>
      <c r="M27" s="49"/>
      <c r="N27" s="46" t="s">
        <v>57</v>
      </c>
    </row>
    <row r="29" spans="1:28">
      <c r="A29" s="50" t="s">
        <v>58</v>
      </c>
      <c r="B29" s="50" t="s">
        <v>59</v>
      </c>
      <c r="C29" s="50" t="s">
        <v>60</v>
      </c>
      <c r="D29" s="50" t="s">
        <v>61</v>
      </c>
      <c r="E29" s="50" t="s">
        <v>62</v>
      </c>
      <c r="F29" s="50" t="s">
        <v>63</v>
      </c>
      <c r="G29" s="50" t="s">
        <v>60</v>
      </c>
      <c r="H29" s="51" t="s">
        <v>64</v>
      </c>
      <c r="I29" s="50" t="s">
        <v>61</v>
      </c>
      <c r="J29" s="51" t="s">
        <v>65</v>
      </c>
      <c r="K29" s="50" t="s">
        <v>62</v>
      </c>
      <c r="L29" s="51" t="s">
        <v>66</v>
      </c>
      <c r="M29" s="50" t="s">
        <v>67</v>
      </c>
      <c r="N29" s="52" t="s">
        <v>68</v>
      </c>
      <c r="O29" s="52" t="s">
        <v>51</v>
      </c>
      <c r="P29" s="52" t="s">
        <v>54</v>
      </c>
      <c r="Q29" s="52" t="s">
        <v>69</v>
      </c>
      <c r="S29" s="178" t="s">
        <v>70</v>
      </c>
      <c r="T29" s="179"/>
      <c r="U29" s="179"/>
      <c r="V29" s="179"/>
      <c r="W29" s="179"/>
      <c r="X29" s="179"/>
      <c r="Y29" s="179"/>
      <c r="Z29" s="179"/>
      <c r="AA29" s="179"/>
      <c r="AB29" s="180"/>
    </row>
    <row r="30" spans="1:28">
      <c r="A30" s="53">
        <v>257</v>
      </c>
      <c r="B30" s="54" t="s">
        <v>71</v>
      </c>
      <c r="C30" s="55"/>
      <c r="D30" s="56">
        <f t="shared" ref="D30:D39" si="5">C30*1.12</f>
        <v>0</v>
      </c>
      <c r="E30" s="57">
        <f t="shared" ref="E30:E39" si="6">C30*1.3</f>
        <v>0</v>
      </c>
      <c r="F30" s="85"/>
      <c r="G30" s="55">
        <f t="shared" ref="G30:G38" si="7">C30-F30</f>
        <v>0</v>
      </c>
      <c r="H30" s="55">
        <f>G30/10</f>
        <v>0</v>
      </c>
      <c r="I30" s="56">
        <f>D30-F30</f>
        <v>0</v>
      </c>
      <c r="J30" s="56">
        <f>I30/11</f>
        <v>0</v>
      </c>
      <c r="K30" s="57">
        <f>E30-F30</f>
        <v>0</v>
      </c>
      <c r="L30" s="57">
        <f>K30/11</f>
        <v>0</v>
      </c>
      <c r="M30" s="58" t="e">
        <f t="shared" ref="M30:M38" si="8">F30/C30</f>
        <v>#DIV/0!</v>
      </c>
      <c r="N30" s="59"/>
      <c r="O30" s="59"/>
      <c r="P30" s="60"/>
      <c r="Q30" s="59"/>
      <c r="S30" s="88" t="s">
        <v>2</v>
      </c>
      <c r="T30" s="89">
        <v>0.2</v>
      </c>
      <c r="U30" s="89" t="s">
        <v>72</v>
      </c>
      <c r="V30" s="89">
        <v>0.3</v>
      </c>
      <c r="W30" s="89" t="s">
        <v>72</v>
      </c>
      <c r="X30" s="89">
        <v>0.26</v>
      </c>
      <c r="Y30" s="89" t="s">
        <v>72</v>
      </c>
      <c r="Z30" s="89">
        <v>0.24</v>
      </c>
      <c r="AA30" s="89" t="s">
        <v>72</v>
      </c>
      <c r="AB30" s="88" t="s">
        <v>73</v>
      </c>
    </row>
    <row r="31" spans="1:28">
      <c r="A31" s="53">
        <v>1017</v>
      </c>
      <c r="B31" s="54" t="s">
        <v>74</v>
      </c>
      <c r="C31" s="55"/>
      <c r="D31" s="56">
        <f t="shared" si="5"/>
        <v>0</v>
      </c>
      <c r="E31" s="57">
        <f t="shared" si="6"/>
        <v>0</v>
      </c>
      <c r="F31" s="85"/>
      <c r="G31" s="55">
        <f t="shared" si="7"/>
        <v>0</v>
      </c>
      <c r="H31" s="55">
        <f>G31/9</f>
        <v>0</v>
      </c>
      <c r="I31" s="56"/>
      <c r="J31" s="56"/>
      <c r="K31" s="57"/>
      <c r="L31" s="57"/>
      <c r="M31" s="58" t="e">
        <f t="shared" si="8"/>
        <v>#DIV/0!</v>
      </c>
      <c r="N31" s="59"/>
      <c r="O31" s="59"/>
      <c r="P31" s="60"/>
      <c r="Q31" s="59"/>
      <c r="S31" s="86" t="s">
        <v>75</v>
      </c>
      <c r="T31" s="94">
        <v>24000</v>
      </c>
      <c r="U31" s="96">
        <v>22141.14</v>
      </c>
      <c r="V31" s="94">
        <v>36000</v>
      </c>
      <c r="W31" s="96">
        <v>33484.230000000003</v>
      </c>
      <c r="X31" s="94">
        <v>31200</v>
      </c>
      <c r="Y31" s="91">
        <v>38619.089999999997</v>
      </c>
      <c r="Z31" s="94">
        <v>28800</v>
      </c>
      <c r="AA31" s="87"/>
      <c r="AB31" s="94">
        <v>120000</v>
      </c>
    </row>
    <row r="32" spans="1:28">
      <c r="A32" s="53">
        <v>157</v>
      </c>
      <c r="B32" s="54" t="s">
        <v>76</v>
      </c>
      <c r="C32" s="55"/>
      <c r="D32" s="56">
        <f t="shared" si="5"/>
        <v>0</v>
      </c>
      <c r="E32" s="57">
        <f t="shared" si="6"/>
        <v>0</v>
      </c>
      <c r="F32" s="85"/>
      <c r="G32" s="55">
        <f t="shared" si="7"/>
        <v>0</v>
      </c>
      <c r="H32" s="55">
        <f>G32/10</f>
        <v>0</v>
      </c>
      <c r="I32" s="56">
        <f t="shared" ref="I32:I38" si="9">D32-F32</f>
        <v>0</v>
      </c>
      <c r="J32" s="56">
        <f>I32/10</f>
        <v>0</v>
      </c>
      <c r="K32" s="57">
        <f t="shared" ref="K32:K38" si="10">E32-F32</f>
        <v>0</v>
      </c>
      <c r="L32" s="57">
        <f>K32/10</f>
        <v>0</v>
      </c>
      <c r="M32" s="58" t="e">
        <f t="shared" si="8"/>
        <v>#DIV/0!</v>
      </c>
      <c r="N32" s="59"/>
      <c r="O32" s="59"/>
      <c r="P32" s="60"/>
      <c r="Q32" s="59"/>
      <c r="S32" s="86" t="s">
        <v>77</v>
      </c>
      <c r="T32" s="94">
        <v>36000</v>
      </c>
      <c r="U32" s="96">
        <v>35476.78</v>
      </c>
      <c r="V32" s="94">
        <v>54000</v>
      </c>
      <c r="W32" s="96">
        <v>43882.59</v>
      </c>
      <c r="X32" s="94">
        <v>46800</v>
      </c>
      <c r="Y32" s="96">
        <v>45071.32</v>
      </c>
      <c r="Z32" s="94">
        <v>43200</v>
      </c>
      <c r="AA32" s="87"/>
      <c r="AB32" s="94">
        <v>180000</v>
      </c>
    </row>
    <row r="33" spans="1:28">
      <c r="A33" s="53">
        <v>109</v>
      </c>
      <c r="B33" s="54" t="s">
        <v>78</v>
      </c>
      <c r="C33" s="55"/>
      <c r="D33" s="56">
        <f t="shared" si="5"/>
        <v>0</v>
      </c>
      <c r="E33" s="57">
        <f t="shared" si="6"/>
        <v>0</v>
      </c>
      <c r="F33" s="85"/>
      <c r="G33" s="55">
        <f t="shared" si="7"/>
        <v>0</v>
      </c>
      <c r="H33" s="55">
        <f>G33/11</f>
        <v>0</v>
      </c>
      <c r="I33" s="56">
        <f t="shared" si="9"/>
        <v>0</v>
      </c>
      <c r="J33" s="56">
        <f>I33/11</f>
        <v>0</v>
      </c>
      <c r="K33" s="57">
        <f t="shared" si="10"/>
        <v>0</v>
      </c>
      <c r="L33" s="57">
        <f>K33/11</f>
        <v>0</v>
      </c>
      <c r="M33" s="58" t="e">
        <f t="shared" si="8"/>
        <v>#DIV/0!</v>
      </c>
      <c r="N33" s="59"/>
      <c r="O33" s="59"/>
      <c r="P33" s="60"/>
      <c r="Q33" s="59"/>
      <c r="S33" s="86" t="s">
        <v>79</v>
      </c>
      <c r="T33" s="94">
        <v>20934.400000000001</v>
      </c>
      <c r="U33" s="91">
        <v>22209.09</v>
      </c>
      <c r="V33" s="94">
        <v>31401.599999999999</v>
      </c>
      <c r="W33" s="91">
        <v>33505.03</v>
      </c>
      <c r="X33" s="94">
        <v>27214.720000000001</v>
      </c>
      <c r="Y33" s="91">
        <v>52283.55</v>
      </c>
      <c r="Z33" s="94">
        <v>25121.279999999999</v>
      </c>
      <c r="AA33" s="87"/>
      <c r="AB33" s="94">
        <v>104672</v>
      </c>
    </row>
    <row r="34" spans="1:28">
      <c r="A34" s="53">
        <v>117</v>
      </c>
      <c r="B34" s="54" t="s">
        <v>80</v>
      </c>
      <c r="C34" s="55"/>
      <c r="D34" s="56">
        <f t="shared" si="5"/>
        <v>0</v>
      </c>
      <c r="E34" s="57">
        <f t="shared" si="6"/>
        <v>0</v>
      </c>
      <c r="F34" s="85"/>
      <c r="G34" s="55">
        <f t="shared" si="7"/>
        <v>0</v>
      </c>
      <c r="H34" s="55">
        <f>G34/11</f>
        <v>0</v>
      </c>
      <c r="I34" s="56">
        <f t="shared" si="9"/>
        <v>0</v>
      </c>
      <c r="J34" s="56">
        <f>I34/11</f>
        <v>0</v>
      </c>
      <c r="K34" s="57">
        <f t="shared" si="10"/>
        <v>0</v>
      </c>
      <c r="L34" s="57">
        <f>K34/11</f>
        <v>0</v>
      </c>
      <c r="M34" s="58" t="e">
        <f t="shared" si="8"/>
        <v>#DIV/0!</v>
      </c>
      <c r="N34" s="59"/>
      <c r="O34" s="59"/>
      <c r="P34" s="60"/>
      <c r="Q34" s="59"/>
      <c r="S34" s="86" t="s">
        <v>81</v>
      </c>
      <c r="T34" s="94">
        <v>41054.400000000001</v>
      </c>
      <c r="U34" s="96">
        <v>33343.33</v>
      </c>
      <c r="V34" s="94">
        <v>61581.599999999999</v>
      </c>
      <c r="W34" s="96">
        <v>43769.22</v>
      </c>
      <c r="X34" s="94">
        <v>53370.720000000001</v>
      </c>
      <c r="Y34" s="96">
        <v>35643.74</v>
      </c>
      <c r="Z34" s="94">
        <v>49265.279999999999</v>
      </c>
      <c r="AA34" s="87"/>
      <c r="AB34" s="94">
        <v>205272</v>
      </c>
    </row>
    <row r="35" spans="1:28">
      <c r="A35" s="53">
        <v>997</v>
      </c>
      <c r="B35" s="54" t="s">
        <v>82</v>
      </c>
      <c r="C35" s="55"/>
      <c r="D35" s="56">
        <f t="shared" si="5"/>
        <v>0</v>
      </c>
      <c r="E35" s="57">
        <f t="shared" si="6"/>
        <v>0</v>
      </c>
      <c r="F35" s="93"/>
      <c r="G35" s="55">
        <f t="shared" si="7"/>
        <v>0</v>
      </c>
      <c r="H35" s="55">
        <f>G35/10</f>
        <v>0</v>
      </c>
      <c r="I35" s="56">
        <f t="shared" si="9"/>
        <v>0</v>
      </c>
      <c r="J35" s="56"/>
      <c r="K35" s="57">
        <f t="shared" si="10"/>
        <v>0</v>
      </c>
      <c r="L35" s="57"/>
      <c r="M35" s="58" t="e">
        <f t="shared" si="8"/>
        <v>#DIV/0!</v>
      </c>
      <c r="N35" s="59"/>
      <c r="O35" s="59"/>
      <c r="P35" s="60"/>
      <c r="Q35" s="59"/>
      <c r="S35" s="86" t="s">
        <v>83</v>
      </c>
      <c r="T35" s="94">
        <v>20239.8</v>
      </c>
      <c r="U35" s="91">
        <v>21331.22</v>
      </c>
      <c r="V35" s="94">
        <v>30359.7</v>
      </c>
      <c r="W35" s="96">
        <v>24653.439999999999</v>
      </c>
      <c r="X35" s="94">
        <v>26311.74</v>
      </c>
      <c r="Y35" s="91">
        <v>32312.55</v>
      </c>
      <c r="Z35" s="94">
        <v>24287.759999999998</v>
      </c>
      <c r="AA35" s="87"/>
      <c r="AB35" s="94">
        <v>101199</v>
      </c>
    </row>
    <row r="36" spans="1:28">
      <c r="A36" s="53">
        <v>165</v>
      </c>
      <c r="B36" s="54" t="s">
        <v>84</v>
      </c>
      <c r="C36" s="55"/>
      <c r="D36" s="56">
        <f t="shared" si="5"/>
        <v>0</v>
      </c>
      <c r="E36" s="57">
        <f t="shared" si="6"/>
        <v>0</v>
      </c>
      <c r="F36" s="92"/>
      <c r="G36" s="55">
        <f t="shared" si="7"/>
        <v>0</v>
      </c>
      <c r="H36" s="55">
        <f>G36/10</f>
        <v>0</v>
      </c>
      <c r="I36" s="56">
        <f t="shared" si="9"/>
        <v>0</v>
      </c>
      <c r="J36" s="56">
        <f>I36/10</f>
        <v>0</v>
      </c>
      <c r="K36" s="57">
        <f t="shared" si="10"/>
        <v>0</v>
      </c>
      <c r="L36" s="57">
        <f>K36/10</f>
        <v>0</v>
      </c>
      <c r="M36" s="58" t="e">
        <f t="shared" si="8"/>
        <v>#DIV/0!</v>
      </c>
      <c r="N36" s="59"/>
      <c r="O36" s="60"/>
      <c r="P36" s="60"/>
      <c r="Q36" s="59"/>
      <c r="S36" s="86"/>
      <c r="T36" s="94"/>
      <c r="U36" s="87"/>
      <c r="V36" s="94"/>
      <c r="W36" s="87"/>
      <c r="X36" s="94"/>
      <c r="Y36" s="87"/>
      <c r="Z36" s="94">
        <v>0</v>
      </c>
      <c r="AA36" s="87"/>
      <c r="AB36" s="94">
        <v>0</v>
      </c>
    </row>
    <row r="37" spans="1:28">
      <c r="A37" s="53">
        <v>236</v>
      </c>
      <c r="B37" s="54" t="s">
        <v>85</v>
      </c>
      <c r="C37" s="55"/>
      <c r="D37" s="56">
        <f t="shared" si="5"/>
        <v>0</v>
      </c>
      <c r="E37" s="57">
        <f t="shared" si="6"/>
        <v>0</v>
      </c>
      <c r="F37" s="85"/>
      <c r="G37" s="55">
        <f t="shared" si="7"/>
        <v>0</v>
      </c>
      <c r="H37" s="55">
        <f>G37/9</f>
        <v>0</v>
      </c>
      <c r="I37" s="56">
        <f t="shared" si="9"/>
        <v>0</v>
      </c>
      <c r="J37" s="56">
        <f>I37/9</f>
        <v>0</v>
      </c>
      <c r="K37" s="57">
        <f t="shared" si="10"/>
        <v>0</v>
      </c>
      <c r="L37" s="57">
        <f>K37/9</f>
        <v>0</v>
      </c>
      <c r="M37" s="58" t="e">
        <f t="shared" si="8"/>
        <v>#DIV/0!</v>
      </c>
      <c r="N37" s="59"/>
      <c r="O37" s="59"/>
      <c r="P37" s="60"/>
      <c r="Q37" s="59"/>
      <c r="S37" s="86" t="s">
        <v>86</v>
      </c>
      <c r="T37" s="94">
        <v>22000</v>
      </c>
      <c r="U37" s="96">
        <v>17332.419999999998</v>
      </c>
      <c r="V37" s="94">
        <v>33000</v>
      </c>
      <c r="W37" s="96">
        <v>31825.58</v>
      </c>
      <c r="X37" s="94">
        <v>28600</v>
      </c>
      <c r="Y37" s="96">
        <v>23189.81</v>
      </c>
      <c r="Z37" s="94">
        <v>26400</v>
      </c>
      <c r="AA37" s="87"/>
      <c r="AB37" s="94">
        <v>110000</v>
      </c>
    </row>
    <row r="38" spans="1:28">
      <c r="A38" s="53">
        <v>363</v>
      </c>
      <c r="B38" s="54" t="s">
        <v>87</v>
      </c>
      <c r="C38" s="55"/>
      <c r="D38" s="56">
        <f t="shared" si="5"/>
        <v>0</v>
      </c>
      <c r="E38" s="57">
        <f t="shared" si="6"/>
        <v>0</v>
      </c>
      <c r="F38" s="85"/>
      <c r="G38" s="55">
        <f t="shared" si="7"/>
        <v>0</v>
      </c>
      <c r="H38" s="55">
        <f>G38/9</f>
        <v>0</v>
      </c>
      <c r="I38" s="56">
        <f t="shared" si="9"/>
        <v>0</v>
      </c>
      <c r="J38" s="56">
        <f>I38/9</f>
        <v>0</v>
      </c>
      <c r="K38" s="57">
        <f t="shared" si="10"/>
        <v>0</v>
      </c>
      <c r="L38" s="57">
        <f>K38/9</f>
        <v>0</v>
      </c>
      <c r="M38" s="58" t="e">
        <f t="shared" si="8"/>
        <v>#DIV/0!</v>
      </c>
      <c r="N38" s="59"/>
      <c r="O38" s="59"/>
      <c r="P38" s="60"/>
      <c r="Q38" s="59"/>
      <c r="S38" s="86" t="s">
        <v>88</v>
      </c>
      <c r="T38" s="94">
        <v>28355.599999999999</v>
      </c>
      <c r="U38" s="90">
        <v>34786.639999999999</v>
      </c>
      <c r="V38" s="94">
        <v>42533.4</v>
      </c>
      <c r="W38" s="91">
        <v>48785.87</v>
      </c>
      <c r="X38" s="94">
        <v>36862.28</v>
      </c>
      <c r="Y38" s="95">
        <v>41722.93</v>
      </c>
      <c r="Z38" s="94">
        <v>34026.720000000001</v>
      </c>
      <c r="AA38" s="87"/>
      <c r="AB38" s="94">
        <v>141778</v>
      </c>
    </row>
    <row r="39" spans="1:28">
      <c r="A39" s="53"/>
      <c r="B39" s="54" t="s">
        <v>89</v>
      </c>
      <c r="C39" s="55"/>
      <c r="D39" s="56">
        <f t="shared" si="5"/>
        <v>0</v>
      </c>
      <c r="E39" s="57">
        <f t="shared" si="6"/>
        <v>0</v>
      </c>
      <c r="F39" s="55"/>
      <c r="G39" s="56" t="e">
        <f>D39-#REF!</f>
        <v>#REF!</v>
      </c>
      <c r="H39" s="56" t="e">
        <f>G39/11</f>
        <v>#REF!</v>
      </c>
      <c r="I39" s="57" t="e">
        <f>E39-#REF!</f>
        <v>#REF!</v>
      </c>
      <c r="J39" s="57" t="e">
        <f>I39/11</f>
        <v>#REF!</v>
      </c>
      <c r="K39" s="58" t="e">
        <f>#REF!/C39</f>
        <v>#REF!</v>
      </c>
      <c r="L39" s="59"/>
      <c r="M39" s="60"/>
      <c r="N39" s="60"/>
      <c r="O39" s="59"/>
      <c r="S39" s="86" t="s">
        <v>31</v>
      </c>
      <c r="T39" s="94">
        <v>24000</v>
      </c>
      <c r="U39" s="91">
        <v>26150.31</v>
      </c>
      <c r="V39" s="94">
        <v>36000</v>
      </c>
      <c r="W39" s="91">
        <v>37109.81</v>
      </c>
      <c r="X39" s="94">
        <v>31200</v>
      </c>
      <c r="Y39" s="96">
        <v>29222.06</v>
      </c>
      <c r="Z39" s="94">
        <v>28800</v>
      </c>
      <c r="AA39" s="87"/>
      <c r="AB39" s="94">
        <v>120000</v>
      </c>
    </row>
    <row r="40" spans="1:28" ht="22.8">
      <c r="B40" s="61"/>
      <c r="C40" s="62">
        <f>SUM(C30:C39)</f>
        <v>0</v>
      </c>
      <c r="D40" s="62">
        <f>SUM(D30:D39)</f>
        <v>0</v>
      </c>
      <c r="E40" s="62">
        <f>SUM(E30:E39)</f>
        <v>0</v>
      </c>
      <c r="S40" s="86" t="s">
        <v>32</v>
      </c>
      <c r="T40" s="94">
        <v>28000</v>
      </c>
      <c r="U40" s="91">
        <v>35638.620000000003</v>
      </c>
      <c r="V40" s="94">
        <v>42000</v>
      </c>
      <c r="W40" s="91">
        <v>42049.49</v>
      </c>
      <c r="X40" s="94">
        <v>36400</v>
      </c>
      <c r="Y40" s="91">
        <v>61961.87</v>
      </c>
      <c r="Z40" s="94">
        <v>33600</v>
      </c>
      <c r="AA40" s="87"/>
      <c r="AB40" s="94">
        <v>140000</v>
      </c>
    </row>
    <row r="41" spans="1:28" ht="22.8">
      <c r="B41" s="61"/>
      <c r="C41" s="61"/>
      <c r="D41" s="61"/>
      <c r="E41" s="61"/>
      <c r="F41" s="63">
        <f>SUM(F30:F39)</f>
        <v>0</v>
      </c>
      <c r="G41" s="55">
        <f>C40-F41</f>
        <v>0</v>
      </c>
      <c r="H41" s="55">
        <f>G41/8</f>
        <v>0</v>
      </c>
      <c r="I41" s="56">
        <f>D40-F41</f>
        <v>0</v>
      </c>
      <c r="J41" s="56">
        <f>I41/8</f>
        <v>0</v>
      </c>
      <c r="K41" s="57">
        <f>E40-F41</f>
        <v>0</v>
      </c>
      <c r="L41" s="57">
        <f>K41/8</f>
        <v>0</v>
      </c>
      <c r="N41" s="61"/>
      <c r="O41" s="64"/>
      <c r="P41" s="64"/>
      <c r="Q41" s="64"/>
    </row>
    <row r="42" spans="1:28" ht="22.8">
      <c r="B42" s="65"/>
      <c r="C42" s="66">
        <f>C40*0.2%</f>
        <v>0</v>
      </c>
      <c r="D42" s="61"/>
      <c r="E42" s="61"/>
      <c r="G42" s="61"/>
      <c r="H42" s="61"/>
      <c r="I42" s="61"/>
      <c r="J42" s="61"/>
      <c r="L42" s="58" t="e">
        <f>F41/C40</f>
        <v>#DIV/0!</v>
      </c>
      <c r="M42" s="61"/>
      <c r="N42" s="61"/>
      <c r="O42" s="64"/>
      <c r="P42" s="64"/>
      <c r="Q42" s="64"/>
    </row>
    <row r="46" spans="1:28">
      <c r="B46" s="84"/>
      <c r="C46" s="84"/>
      <c r="D46" s="84"/>
      <c r="E46" s="84"/>
    </row>
    <row r="47" spans="1:28">
      <c r="B47" s="67"/>
      <c r="C47" s="67"/>
      <c r="D47" s="67"/>
      <c r="E47" s="67"/>
      <c r="F47" s="67"/>
    </row>
  </sheetData>
  <mergeCells count="8">
    <mergeCell ref="L18:N18"/>
    <mergeCell ref="S29:AB29"/>
    <mergeCell ref="B2:C2"/>
    <mergeCell ref="D2:I2"/>
    <mergeCell ref="L3:N3"/>
    <mergeCell ref="L8:N8"/>
    <mergeCell ref="L15:N15"/>
    <mergeCell ref="L17:N17"/>
  </mergeCells>
  <conditionalFormatting sqref="D4 D6:D13">
    <cfRule type="cellIs" dxfId="7" priority="3" operator="lessThan">
      <formula>$E4</formula>
    </cfRule>
    <cfRule type="cellIs" dxfId="6" priority="4" operator="greaterThan">
      <formula>$G4</formula>
    </cfRule>
    <cfRule type="cellIs" dxfId="5" priority="5" operator="greaterThan">
      <formula>$F4</formula>
    </cfRule>
    <cfRule type="cellIs" dxfId="4" priority="6" operator="greaterThan">
      <formula>$E4</formula>
    </cfRule>
  </conditionalFormatting>
  <conditionalFormatting sqref="H4 H6:H14"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I4:I14">
    <cfRule type="cellIs" dxfId="1" priority="9" operator="lessThan">
      <formula>1</formula>
    </cfRule>
    <cfRule type="cellIs" dxfId="0" priority="10" operator="greaterThan">
      <formula>1</formula>
    </cfRule>
  </conditionalFormatting>
  <conditionalFormatting sqref="M30:M37 L42 K38:K39">
    <cfRule type="colorScale" priority="11">
      <colorScale>
        <cfvo type="min"/>
        <cfvo type="max"/>
        <color rgb="FFFFEF9C"/>
        <color rgb="FF63BE7B"/>
      </colorScale>
    </cfRule>
  </conditionalFormatting>
  <conditionalFormatting sqref="M30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00B050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Layane andrade</dc:creator>
  <cp:keywords/>
  <dc:description/>
  <cp:lastModifiedBy>Layane andrade</cp:lastModifiedBy>
  <cp:revision/>
  <dcterms:created xsi:type="dcterms:W3CDTF">2026-01-09T00:30:20Z</dcterms:created>
  <dcterms:modified xsi:type="dcterms:W3CDTF">2026-08-02T16:50:11Z</dcterms:modified>
  <cp:category/>
  <cp:contentStatus/>
</cp:coreProperties>
</file>